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come Statement" sheetId="2" state="visible" r:id="rId4"/>
    <sheet name="Balance Sheet" sheetId="3" state="visible" r:id="rId5"/>
    <sheet name="Segment_Rep Unit Details" sheetId="4" state="visible" r:id="rId6"/>
    <sheet name="ICG" sheetId="5" state="visible" r:id="rId7"/>
    <sheet name="ICG (Page 2)" sheetId="6" state="visible" r:id="rId8"/>
    <sheet name="PBWM" sheetId="7" state="visible" r:id="rId9"/>
    <sheet name="PBWM (Metrics)" sheetId="8" state="visible" r:id="rId10"/>
    <sheet name="Legacy Franchises" sheetId="9" state="visible" r:id="rId11"/>
    <sheet name="Corp_Other" sheetId="10" state="visible" r:id="rId12"/>
    <sheet name="Averages - Yields " sheetId="11" state="visible" r:id="rId13"/>
  </sheets>
  <definedNames>
    <definedName function="false" hidden="false" name="Excel_BuiltIn_Print_Area" vbProcedure="false">'Segment_Rep Unit Details'!$A$1:$K$39</definedName>
    <definedName function="false" hidden="false" name="Excel_BuiltIn_Print_Titles" vbProcedure="false">'Segment_Rep Unit Details'!$A:$D</definedName>
    <definedName function="false" hidden="false" name="wrn_cf_" vbProcedure="false">{"one",#N/A,FALSE,"cf";"two",#N/A,FALSE,"cf"}</definedName>
    <definedName function="false" hidden="false" name="_Order1" vbProcedure="false">255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<sst xmlns="http://schemas.openxmlformats.org/spreadsheetml/2006/main" count="575" uniqueCount="310">
  <si>
    <t xml:space="preserve">($'m, unless as stated otherwise)</t>
  </si>
  <si>
    <t xml:space="preserve">2022 E</t>
  </si>
  <si>
    <t xml:space="preserve">2021 A</t>
  </si>
  <si>
    <t xml:space="preserve">2022 E vs. 2021 A Increase/ (Decrease)</t>
  </si>
  <si>
    <t xml:space="preserve">Institutional Clients Group</t>
  </si>
  <si>
    <t xml:space="preserve">Personal Banking and Wealth Management</t>
  </si>
  <si>
    <t xml:space="preserve">Legacy Franchises</t>
  </si>
  <si>
    <t xml:space="preserve">Corporate / Other</t>
  </si>
  <si>
    <t xml:space="preserve">NM</t>
  </si>
  <si>
    <t xml:space="preserve">Total revenues, net of interest expense</t>
  </si>
  <si>
    <t xml:space="preserve">Total operating expenses</t>
  </si>
  <si>
    <t xml:space="preserve">Net credit losses</t>
  </si>
  <si>
    <r>
      <rPr>
        <sz val="14"/>
        <rFont val="Arial"/>
        <family val="2"/>
      </rPr>
      <t xml:space="preserve">Net ACL build / (release)</t>
    </r>
    <r>
      <rPr>
        <vertAlign val="superscript"/>
        <sz val="14"/>
        <color rgb="FF000000"/>
        <rFont val="Arial"/>
        <family val="2"/>
      </rPr>
      <t xml:space="preserve">(a)</t>
    </r>
  </si>
  <si>
    <r>
      <rPr>
        <sz val="14"/>
        <rFont val="Arial"/>
        <family val="2"/>
      </rPr>
      <t xml:space="preserve">Other provisions</t>
    </r>
    <r>
      <rPr>
        <vertAlign val="superscript"/>
        <sz val="14"/>
        <color rgb="FF000000"/>
        <rFont val="Arial"/>
        <family val="2"/>
      </rPr>
      <t xml:space="preserve">(b)</t>
    </r>
  </si>
  <si>
    <t xml:space="preserve">Total cost of credit</t>
  </si>
  <si>
    <t xml:space="preserve">Income from continuing operations before income taxes</t>
  </si>
  <si>
    <t xml:space="preserve">Provision for income taxes</t>
  </si>
  <si>
    <t xml:space="preserve">Income from continuing operations</t>
  </si>
  <si>
    <t xml:space="preserve">Income (loss) from discountined operations, net of taxes</t>
  </si>
  <si>
    <t xml:space="preserve">Net income attributable to non-controling interest</t>
  </si>
  <si>
    <t xml:space="preserve">Citigroup's net income</t>
  </si>
  <si>
    <t xml:space="preserve">Income (loss) from continuing operations, net of taxes</t>
  </si>
  <si>
    <t xml:space="preserve">(a) Includes credit reserve build / (release) for loans and provision for credit losses on unfunded lending commitments.</t>
  </si>
  <si>
    <t xml:space="preserve">(b) Includes provisions for policyholder benefits and claims, HTM debt securities and other assets.</t>
  </si>
  <si>
    <t xml:space="preserve">CITIGROUP CONSOLIDATED STATEMENT OF INCOME</t>
  </si>
  <si>
    <t xml:space="preserve">(In millions of dollars)</t>
  </si>
  <si>
    <t xml:space="preserve">Revenues</t>
  </si>
  <si>
    <t xml:space="preserve">Interest revenue</t>
  </si>
  <si>
    <r>
      <rPr>
        <sz val="14"/>
        <color rgb="FF000000"/>
        <rFont val="Arial"/>
        <family val="2"/>
      </rPr>
      <t xml:space="preserve">Interest expense</t>
    </r>
    <r>
      <rPr>
        <vertAlign val="superscript"/>
        <sz val="14"/>
        <color rgb="FF000000"/>
        <rFont val="Arial"/>
        <family val="2"/>
      </rPr>
      <t xml:space="preserve">(1)</t>
    </r>
  </si>
  <si>
    <t xml:space="preserve">Net interest income (NII)</t>
  </si>
  <si>
    <t xml:space="preserve">Commissions and fees</t>
  </si>
  <si>
    <t xml:space="preserve">Principal transactions</t>
  </si>
  <si>
    <t xml:space="preserve">Administrative and other fiduciary fees</t>
  </si>
  <si>
    <t xml:space="preserve">Realized gains (losses) on investments </t>
  </si>
  <si>
    <t xml:space="preserve">Impairment losses on investments and other assets</t>
  </si>
  <si>
    <r>
      <rPr>
        <sz val="14"/>
        <color rgb="FF000000"/>
        <rFont val="Arial"/>
        <family val="2"/>
      </rPr>
      <t xml:space="preserve">Provision for credit losses on AFS debt securities</t>
    </r>
    <r>
      <rPr>
        <vertAlign val="superscript"/>
        <sz val="14"/>
        <color rgb="FF000000"/>
        <rFont val="Arial"/>
        <family val="2"/>
      </rPr>
      <t xml:space="preserve">(2)</t>
    </r>
  </si>
  <si>
    <t xml:space="preserve">-</t>
  </si>
  <si>
    <t xml:space="preserve">Other revenue (loss)</t>
  </si>
  <si>
    <t xml:space="preserve">Total non-interest revenues (NIR)</t>
  </si>
  <si>
    <t xml:space="preserve">Provisions for credit losses and for benefits and claims</t>
  </si>
  <si>
    <t xml:space="preserve">Credit reserve build / (release) for loans</t>
  </si>
  <si>
    <t xml:space="preserve">Provision for credit losses on loans</t>
  </si>
  <si>
    <t xml:space="preserve">Provision for credit losses on held-to-maturity (HTM) debt securities</t>
  </si>
  <si>
    <t xml:space="preserve">Provision for credit losses on other assets</t>
  </si>
  <si>
    <t xml:space="preserve">Policyholder benefits and claims</t>
  </si>
  <si>
    <t xml:space="preserve">Provision for credit losses on unfunded lending commitments</t>
  </si>
  <si>
    <r>
      <rPr>
        <b val="true"/>
        <sz val="14"/>
        <color rgb="FF000000"/>
        <rFont val="Arial"/>
        <family val="2"/>
      </rPr>
      <t xml:space="preserve">Total provisions for credit losses and for benefits and claims</t>
    </r>
    <r>
      <rPr>
        <b val="true"/>
        <vertAlign val="superscript"/>
        <sz val="14"/>
        <color rgb="FF000000"/>
        <rFont val="Arial"/>
        <family val="2"/>
      </rPr>
      <t xml:space="preserve">(3)</t>
    </r>
  </si>
  <si>
    <t xml:space="preserve">Operating expenses</t>
  </si>
  <si>
    <t xml:space="preserve">Compensation and benefits</t>
  </si>
  <si>
    <t xml:space="preserve">Premises and equipment</t>
  </si>
  <si>
    <t xml:space="preserve">Technology / communication</t>
  </si>
  <si>
    <t xml:space="preserve">Advertising and marketing</t>
  </si>
  <si>
    <r>
      <rPr>
        <sz val="14"/>
        <color rgb="FF000000"/>
        <rFont val="Arial"/>
        <family val="2"/>
      </rPr>
      <t xml:space="preserve">Other operating</t>
    </r>
    <r>
      <rPr>
        <vertAlign val="superscript"/>
        <sz val="14"/>
        <color rgb="FF000000"/>
        <rFont val="Arial"/>
        <family val="2"/>
      </rPr>
      <t xml:space="preserve">(1)</t>
    </r>
  </si>
  <si>
    <r>
      <rPr>
        <sz val="14"/>
        <color rgb="FF000000"/>
        <rFont val="Arial"/>
        <family val="2"/>
      </rPr>
      <t xml:space="preserve">Provision for income taxes</t>
    </r>
    <r>
      <rPr>
        <vertAlign val="superscript"/>
        <sz val="14"/>
        <color rgb="FF000000"/>
        <rFont val="Arial"/>
        <family val="2"/>
      </rPr>
      <t xml:space="preserve">(4)</t>
    </r>
  </si>
  <si>
    <t xml:space="preserve">Income (loss) from continuing operations</t>
  </si>
  <si>
    <r>
      <rPr>
        <b val="true"/>
        <sz val="14"/>
        <color rgb="FF000000"/>
        <rFont val="Arial"/>
        <family val="2"/>
      </rPr>
      <t xml:space="preserve">Discontinued operations</t>
    </r>
    <r>
      <rPr>
        <b val="true"/>
        <vertAlign val="superscript"/>
        <sz val="14"/>
        <color rgb="FF000000"/>
        <rFont val="Arial"/>
        <family val="2"/>
      </rPr>
      <t xml:space="preserve">(5)</t>
    </r>
    <r>
      <rPr>
        <b val="true"/>
        <sz val="14"/>
        <color rgb="FF000000"/>
        <rFont val="Arial"/>
        <family val="2"/>
      </rPr>
      <t xml:space="preserve"> </t>
    </r>
  </si>
  <si>
    <t xml:space="preserve">Income (loss) from discontinued operations</t>
  </si>
  <si>
    <t xml:space="preserve">Provision (benefit) for income taxes</t>
  </si>
  <si>
    <t xml:space="preserve">Income (loss) from discontinued operations, net of taxes</t>
  </si>
  <si>
    <t xml:space="preserve">Net income before noncontrolling interests</t>
  </si>
  <si>
    <t xml:space="preserve">Net income (loss) attributable to noncontrolling interests</t>
  </si>
  <si>
    <t xml:space="preserve">(1)</t>
  </si>
  <si>
    <t xml:space="preserve">See footnote 1 on page 1. </t>
  </si>
  <si>
    <t xml:space="preserve">(2)</t>
  </si>
  <si>
    <t xml:space="preserve">This presentation is in accordance with ASC 326, which requires the provision for credit losses on AFS securities to be included in revenue.</t>
  </si>
  <si>
    <t xml:space="preserve">(3)</t>
  </si>
  <si>
    <t xml:space="preserve">This total excludes the provision for credit losses on AFS securities, which is disclosed separately above.</t>
  </si>
  <si>
    <t xml:space="preserve">(4)</t>
  </si>
  <si>
    <t xml:space="preserve">See footnote 5 on page 1. </t>
  </si>
  <si>
    <t xml:space="preserve">(5)</t>
  </si>
  <si>
    <t xml:space="preserve">See footnote 6 on page 1. </t>
  </si>
  <si>
    <t xml:space="preserve">NM  Not meaningful.</t>
  </si>
  <si>
    <t xml:space="preserve">Reclassified to conform to the current period's presentation.</t>
  </si>
  <si>
    <t xml:space="preserve">CITIGROUP CONSOLIDATED BALANCE SHEET</t>
  </si>
  <si>
    <t xml:space="preserve">Assets</t>
  </si>
  <si>
    <t xml:space="preserve">Cash and due from banks (including segregated cash and other deposits)</t>
  </si>
  <si>
    <t xml:space="preserve">Deposits with banks, net of allowance</t>
  </si>
  <si>
    <t xml:space="preserve">Securities borrowed and purchased under agreements to resell, net of allowance</t>
  </si>
  <si>
    <t xml:space="preserve">Brokerage receivables, net of allowance</t>
  </si>
  <si>
    <t xml:space="preserve">Trading account assets </t>
  </si>
  <si>
    <t xml:space="preserve">Investments </t>
  </si>
  <si>
    <t xml:space="preserve">Available-for-sale debt securities, net of allowance</t>
  </si>
  <si>
    <t xml:space="preserve">Held-to-maturity debt securities, net of allowance</t>
  </si>
  <si>
    <t xml:space="preserve">Equity securities</t>
  </si>
  <si>
    <t xml:space="preserve">Total investments </t>
  </si>
  <si>
    <t xml:space="preserve">Loans, net of unearned income</t>
  </si>
  <si>
    <r>
      <rPr>
        <sz val="14"/>
        <color rgb="FF000000"/>
        <rFont val="Arial"/>
        <family val="2"/>
      </rPr>
      <t xml:space="preserve">Consumer</t>
    </r>
    <r>
      <rPr>
        <vertAlign val="superscript"/>
        <sz val="14"/>
        <color rgb="FF000000"/>
        <rFont val="Arial"/>
        <family val="2"/>
      </rPr>
      <t xml:space="preserve">(2)</t>
    </r>
    <r>
      <rPr>
        <sz val="14"/>
        <color rgb="FF000000"/>
        <rFont val="Arial"/>
        <family val="2"/>
      </rPr>
      <t xml:space="preserve"> </t>
    </r>
  </si>
  <si>
    <r>
      <rPr>
        <sz val="14"/>
        <color rgb="FF000000"/>
        <rFont val="Arial"/>
        <family val="2"/>
      </rPr>
      <t xml:space="preserve">Corporate</t>
    </r>
    <r>
      <rPr>
        <vertAlign val="superscript"/>
        <sz val="14"/>
        <color rgb="FF000000"/>
        <rFont val="Arial"/>
        <family val="2"/>
      </rPr>
      <t xml:space="preserve">(3)</t>
    </r>
  </si>
  <si>
    <t xml:space="preserve">Allowance for credit losses on loans (ACLL)</t>
  </si>
  <si>
    <t xml:space="preserve">Total loans, net</t>
  </si>
  <si>
    <t xml:space="preserve">Goodwill</t>
  </si>
  <si>
    <t xml:space="preserve">Intangible assets (including MSRs)</t>
  </si>
  <si>
    <t xml:space="preserve">Other assets, net of allowance</t>
  </si>
  <si>
    <t xml:space="preserve">Total assets</t>
  </si>
  <si>
    <t xml:space="preserve">Liabilities</t>
  </si>
  <si>
    <t xml:space="preserve">Non-interest-bearing deposits in U.S. offices</t>
  </si>
  <si>
    <t xml:space="preserve">Interest-bearing deposits in U.S. offices</t>
  </si>
  <si>
    <t xml:space="preserve">Total U.S. deposits</t>
  </si>
  <si>
    <t xml:space="preserve">Non-interest-bearing deposits in offices outside the U.S.</t>
  </si>
  <si>
    <t xml:space="preserve">Interest-bearing deposits in offices outside the U.S.</t>
  </si>
  <si>
    <t xml:space="preserve">Total international deposits</t>
  </si>
  <si>
    <t xml:space="preserve">Total deposits</t>
  </si>
  <si>
    <t xml:space="preserve">Securities loaned and sold under agreements to resell</t>
  </si>
  <si>
    <t xml:space="preserve">Brokerage payables</t>
  </si>
  <si>
    <t xml:space="preserve">Trading account liabilities</t>
  </si>
  <si>
    <t xml:space="preserve">Short-term borrowings</t>
  </si>
  <si>
    <t xml:space="preserve">Long-term debt</t>
  </si>
  <si>
    <r>
      <rPr>
        <sz val="14"/>
        <color rgb="FF000000"/>
        <rFont val="Arial"/>
        <family val="2"/>
      </rPr>
      <t xml:space="preserve">Other liabilities</t>
    </r>
    <r>
      <rPr>
        <vertAlign val="superscript"/>
        <sz val="14"/>
        <color rgb="FF000000"/>
        <rFont val="Arial"/>
        <family val="2"/>
      </rPr>
      <t xml:space="preserve">(4)</t>
    </r>
  </si>
  <si>
    <t xml:space="preserve">Total liabilities</t>
  </si>
  <si>
    <t xml:space="preserve"> </t>
  </si>
  <si>
    <t xml:space="preserve">Equity</t>
  </si>
  <si>
    <t xml:space="preserve">Stockholders' equity</t>
  </si>
  <si>
    <t xml:space="preserve">Preferred stock</t>
  </si>
  <si>
    <t xml:space="preserve">Common stock </t>
  </si>
  <si>
    <t xml:space="preserve">Additional paid-in capital</t>
  </si>
  <si>
    <t xml:space="preserve">Retained earnings</t>
  </si>
  <si>
    <t xml:space="preserve">Treasury stock, at cost</t>
  </si>
  <si>
    <r>
      <rPr>
        <sz val="14"/>
        <color rgb="FF000000"/>
        <rFont val="Arial"/>
        <family val="2"/>
      </rPr>
      <t xml:space="preserve">Accumulated other comprehensive income (loss) (AOCI)</t>
    </r>
    <r>
      <rPr>
        <vertAlign val="superscript"/>
        <sz val="14"/>
        <color rgb="FF000000"/>
        <rFont val="Arial"/>
        <family val="2"/>
      </rPr>
      <t xml:space="preserve">(5)</t>
    </r>
  </si>
  <si>
    <t xml:space="preserve">Total common equity</t>
  </si>
  <si>
    <t xml:space="preserve">Total Citigroup stockholders' equity</t>
  </si>
  <si>
    <t xml:space="preserve">Noncontrolling interests</t>
  </si>
  <si>
    <t xml:space="preserve">Total equity</t>
  </si>
  <si>
    <t xml:space="preserve">Total liabilities and equity</t>
  </si>
  <si>
    <t xml:space="preserve">Preliminary.</t>
  </si>
  <si>
    <t xml:space="preserve">Consumer loans include loans managed by PBWM and Legacy Franchises (other than Mexico Small Business &amp; Middle-Market Banking (Mexico SBMM) loans).</t>
  </si>
  <si>
    <t xml:space="preserve">Corporate loans include loans managed by ICG and Legacy Franchises-Mexico SBMM.</t>
  </si>
  <si>
    <t xml:space="preserve">Includes allowance for credit losses for unfunded lending commitments. See page 15.</t>
  </si>
  <si>
    <t xml:space="preserve">As discussed in footnote 2 on page 1, Citi's third quarter of 2021 results include an approximate $680 million loss on sale (an approximate $580 million after-tax), related to Citi’s</t>
  </si>
  <si>
    <t xml:space="preserve">agreement to sell its Australia consumer banking business. The loss primarily reflects the impact of an approximate $625 million ($475 million (after-tax)) currency translation</t>
  </si>
  <si>
    <t xml:space="preserve">adjustment (CTA) loss (net of hedges) at September 30, 2021, December 31, 2021 and March 31, 2022, already reflected in the Accumulated Other Comprehensive Income</t>
  </si>
  <si>
    <t xml:space="preserve">(AOCI) component of equity. The sale closed during the second quarter of 2022, and the CTA balance was removed from the AOCI component of equity as of the end of the</t>
  </si>
  <si>
    <t xml:space="preserve">second quarter of 2022, resulting in a neutral impact from CTA to Citi’s Common Equity Tier 1 Capital. </t>
  </si>
  <si>
    <t xml:space="preserve">OPERATING SEGMENT AND REPORTING UNIT DETAILS</t>
  </si>
  <si>
    <t xml:space="preserve">Net revenues</t>
  </si>
  <si>
    <t xml:space="preserve">Institutional Clients Group </t>
  </si>
  <si>
    <t xml:space="preserve">Corporate/Other</t>
  </si>
  <si>
    <t xml:space="preserve">Total net revenues </t>
  </si>
  <si>
    <t xml:space="preserve">Discontinued operations</t>
  </si>
  <si>
    <t xml:space="preserve">Net income attributable to noncontrolling interests</t>
  </si>
  <si>
    <t xml:space="preserve">Net income</t>
  </si>
  <si>
    <t xml:space="preserve">INSTITUTIONAL CLIENTS GROUP </t>
  </si>
  <si>
    <t xml:space="preserve">(In millions of dollars, except as otherwise noted)</t>
  </si>
  <si>
    <t xml:space="preserve">Administration and other fiduciary fees</t>
  </si>
  <si>
    <r>
      <rPr>
        <sz val="14"/>
        <color rgb="FF000000"/>
        <rFont val="Arial"/>
        <family val="2"/>
      </rPr>
      <t xml:space="preserve">Investment banking fees</t>
    </r>
    <r>
      <rPr>
        <vertAlign val="superscript"/>
        <sz val="14"/>
        <color rgb="FF000000"/>
        <rFont val="Arial"/>
        <family val="2"/>
      </rPr>
      <t xml:space="preserve">(1)</t>
    </r>
  </si>
  <si>
    <t xml:space="preserve">Other</t>
  </si>
  <si>
    <t xml:space="preserve">Total non-interest revenue</t>
  </si>
  <si>
    <t xml:space="preserve">Net interest income (including dividends)</t>
  </si>
  <si>
    <t xml:space="preserve">Net credit losses on loans</t>
  </si>
  <si>
    <t xml:space="preserve">Provisions for credit losses for HTM debt securities and other assets</t>
  </si>
  <si>
    <t xml:space="preserve">Provision for credit losses</t>
  </si>
  <si>
    <t xml:space="preserve">Income from continuing operations before taxes</t>
  </si>
  <si>
    <t xml:space="preserve">Income taxes</t>
  </si>
  <si>
    <t xml:space="preserve">EOP assets (in billions)</t>
  </si>
  <si>
    <t xml:space="preserve">Average assets (in billions)</t>
  </si>
  <si>
    <t xml:space="preserve">Efficiency ratio</t>
  </si>
  <si>
    <t xml:space="preserve">Revenue by reporting unit</t>
  </si>
  <si>
    <t xml:space="preserve">Services</t>
  </si>
  <si>
    <t xml:space="preserve">Markets</t>
  </si>
  <si>
    <t xml:space="preserve">Banking</t>
  </si>
  <si>
    <t xml:space="preserve">Revenue by region </t>
  </si>
  <si>
    <t xml:space="preserve">North America</t>
  </si>
  <si>
    <t xml:space="preserve">EMEA</t>
  </si>
  <si>
    <t xml:space="preserve">Latin America</t>
  </si>
  <si>
    <t xml:space="preserve">Asia</t>
  </si>
  <si>
    <t xml:space="preserve">Income (loss) from continuing operations by region </t>
  </si>
  <si>
    <r>
      <rPr>
        <b val="true"/>
        <sz val="14"/>
        <color rgb="FF000000"/>
        <rFont val="Arial"/>
        <family val="2"/>
      </rPr>
      <t xml:space="preserve">Average loans by reporting unit </t>
    </r>
    <r>
      <rPr>
        <sz val="14"/>
        <color rgb="FF000000"/>
        <rFont val="Arial"/>
        <family val="2"/>
      </rPr>
      <t xml:space="preserve">(in billions)</t>
    </r>
  </si>
  <si>
    <t xml:space="preserve">Total</t>
  </si>
  <si>
    <r>
      <rPr>
        <b val="true"/>
        <sz val="14"/>
        <color rgb="FF000000"/>
        <rFont val="Arial"/>
        <family val="2"/>
      </rPr>
      <t xml:space="preserve">Average deposits by reporting unit and selected component </t>
    </r>
    <r>
      <rPr>
        <sz val="14"/>
        <color rgb="FF000000"/>
        <rFont val="Arial"/>
        <family val="2"/>
      </rPr>
      <t xml:space="preserve">(in billions)</t>
    </r>
  </si>
  <si>
    <t xml:space="preserve">Treasury and trade solutions (TTS)</t>
  </si>
  <si>
    <t xml:space="preserve">Securities services</t>
  </si>
  <si>
    <t xml:space="preserve">Markets &amp; Banking</t>
  </si>
  <si>
    <r>
      <rPr>
        <b val="true"/>
        <sz val="14"/>
        <color rgb="FF000000"/>
        <rFont val="Arial"/>
        <family val="2"/>
      </rPr>
      <t xml:space="preserve">Services Key Drivers</t>
    </r>
    <r>
      <rPr>
        <sz val="14"/>
        <color rgb="FF000000"/>
        <rFont val="Arial"/>
        <family val="2"/>
      </rPr>
      <t xml:space="preserve"> (in billions of dollars, except as otherwise noted)</t>
    </r>
  </si>
  <si>
    <t xml:space="preserve">AUC/AUA (in trillions of dollars)</t>
  </si>
  <si>
    <t xml:space="preserve">Cross border transaction value</t>
  </si>
  <si>
    <t xml:space="preserve">U.S.-dollar clearing volume (in millions)</t>
  </si>
  <si>
    <t xml:space="preserve">Commercial card spend volume</t>
  </si>
  <si>
    <t xml:space="preserve">Investment banking fees are substantially composed of underwriting and advisory revenues.</t>
  </si>
  <si>
    <t xml:space="preserve">INSTITUTIONAL CLIENTS GROUP</t>
  </si>
  <si>
    <t xml:space="preserve">REPORTING UNIT REVENUES</t>
  </si>
  <si>
    <t xml:space="preserve">Net interest income</t>
  </si>
  <si>
    <t xml:space="preserve">Non-interest revenue</t>
  </si>
  <si>
    <t xml:space="preserve">Total Services revenues</t>
  </si>
  <si>
    <t xml:space="preserve">Treasury and trade solutions</t>
  </si>
  <si>
    <t xml:space="preserve">Total Markets revenues</t>
  </si>
  <si>
    <t xml:space="preserve">Fixed income markets</t>
  </si>
  <si>
    <t xml:space="preserve">Equity markets</t>
  </si>
  <si>
    <t xml:space="preserve">Total </t>
  </si>
  <si>
    <t xml:space="preserve">Rates and currencies</t>
  </si>
  <si>
    <t xml:space="preserve">Spread products / other fixed income</t>
  </si>
  <si>
    <t xml:space="preserve">Total fixed income markets revenues</t>
  </si>
  <si>
    <t xml:space="preserve">Total Banking revenues, including gain/(loss) on loan hedges</t>
  </si>
  <si>
    <t xml:space="preserve">Investment banking</t>
  </si>
  <si>
    <t xml:space="preserve">Advisory </t>
  </si>
  <si>
    <t xml:space="preserve">Equity underwriting</t>
  </si>
  <si>
    <t xml:space="preserve">Debt underwriting</t>
  </si>
  <si>
    <t xml:space="preserve">Total investment banking</t>
  </si>
  <si>
    <r>
      <rPr>
        <sz val="14"/>
        <color rgb="FF000000"/>
        <rFont val="Arial"/>
        <family val="2"/>
      </rPr>
      <t xml:space="preserve">Corporate lending - excluding gain/(loss) on loan hedges</t>
    </r>
    <r>
      <rPr>
        <vertAlign val="superscript"/>
        <sz val="14"/>
        <color rgb="FF000000"/>
        <rFont val="Arial"/>
        <family val="2"/>
      </rPr>
      <t xml:space="preserve">(1)</t>
    </r>
  </si>
  <si>
    <r>
      <rPr>
        <b val="true"/>
        <sz val="14"/>
        <color rgb="FF000000"/>
        <rFont val="Arial"/>
        <family val="2"/>
      </rPr>
      <t xml:space="preserve">Total Banking revenues (ex-gain/(loss) on loan hedges)</t>
    </r>
    <r>
      <rPr>
        <b val="true"/>
        <vertAlign val="superscript"/>
        <sz val="14"/>
        <color rgb="FF000000"/>
        <rFont val="Arial"/>
        <family val="2"/>
      </rPr>
      <t xml:space="preserve">(1) </t>
    </r>
  </si>
  <si>
    <r>
      <rPr>
        <sz val="14"/>
        <color rgb="FF000000"/>
        <rFont val="Arial"/>
        <family val="2"/>
      </rPr>
      <t xml:space="preserve">Gain/(loss) on loan hedges</t>
    </r>
    <r>
      <rPr>
        <vertAlign val="superscript"/>
        <sz val="14"/>
        <color rgb="FF000000"/>
        <rFont val="Arial"/>
        <family val="2"/>
      </rPr>
      <t xml:space="preserve">(1)</t>
    </r>
  </si>
  <si>
    <r>
      <rPr>
        <b val="true"/>
        <sz val="14"/>
        <color rgb="FF000000"/>
        <rFont val="Arial"/>
        <family val="2"/>
      </rPr>
      <t xml:space="preserve">Total Banking revenues including gain/(loss) on loan hedges</t>
    </r>
    <r>
      <rPr>
        <b val="true"/>
        <vertAlign val="superscript"/>
        <sz val="14"/>
        <color rgb="FF000000"/>
        <rFont val="Arial"/>
        <family val="2"/>
      </rPr>
      <t xml:space="preserve">(1)</t>
    </r>
  </si>
  <si>
    <t xml:space="preserve">Total ICG revenues, net of interest expense</t>
  </si>
  <si>
    <r>
      <rPr>
        <sz val="14"/>
        <color rgb="FF000000"/>
        <rFont val="Arial"/>
        <family val="2"/>
      </rPr>
      <t xml:space="preserve">  Taxable-equivalent adjustments</t>
    </r>
    <r>
      <rPr>
        <vertAlign val="superscript"/>
        <sz val="14"/>
        <color rgb="FF000000"/>
        <rFont val="Arial"/>
        <family val="2"/>
      </rPr>
      <t xml:space="preserve">(2)</t>
    </r>
  </si>
  <si>
    <r>
      <rPr>
        <b val="true"/>
        <sz val="14"/>
        <color rgb="FF000000"/>
        <rFont val="Arial"/>
        <family val="2"/>
      </rPr>
      <t xml:space="preserve">Total ICG revenues - including taxable-equivalent adjustments</t>
    </r>
    <r>
      <rPr>
        <b val="true"/>
        <vertAlign val="superscript"/>
        <sz val="14"/>
        <color rgb="FF000000"/>
        <rFont val="Arial"/>
        <family val="2"/>
      </rPr>
      <t xml:space="preserve">(2)</t>
    </r>
  </si>
  <si>
    <t xml:space="preserve">Credit derivatives are used to economically hedge a portion of the corporate loan portfolio that includes both accrual loans and loans at fair value. Gain/(loss) on</t>
  </si>
  <si>
    <t xml:space="preserve">loan hedges includes the mark-to-market on the credit derivatives partially offset by the mark-to-market on the loans in the portfolio that are at fair value. Hedges</t>
  </si>
  <si>
    <t xml:space="preserve">on accrual loans reflect the mark-to-market on credit derivatives used to economically hedge the corporate loan accrual portfolio. The fixed premium costs of these</t>
  </si>
  <si>
    <t xml:space="preserve">hedges are netted against the corporate lending revenues to reflect the cost of credit protection. Citigroup’s results of operations excluding the impact of</t>
  </si>
  <si>
    <t xml:space="preserve">gain/(loss) on loan hedges are non-GAAP financial measures.</t>
  </si>
  <si>
    <t xml:space="preserve">Primarily relates to income tax credits related to affordable housing and alternative energy investments as well as tax exempt income from municipal bond investments.</t>
  </si>
  <si>
    <t xml:space="preserve">PERSONAL BANKING AND WEALTH MANAGEMENT</t>
  </si>
  <si>
    <t xml:space="preserve">Total revenues, net of interest expense </t>
  </si>
  <si>
    <t xml:space="preserve">Provisions for benefits and claims, and other assets</t>
  </si>
  <si>
    <t xml:space="preserve">Provisions for credit losses and for benefits and claims (PBC)</t>
  </si>
  <si>
    <t xml:space="preserve">Income (loss) from continuing operations before taxes</t>
  </si>
  <si>
    <t xml:space="preserve">Income taxes (benefits)</t>
  </si>
  <si>
    <t xml:space="preserve">Net income (loss)</t>
  </si>
  <si>
    <t xml:space="preserve">Revenue by reporting unit and component</t>
  </si>
  <si>
    <t xml:space="preserve">Branded cards</t>
  </si>
  <si>
    <t xml:space="preserve">Retail services</t>
  </si>
  <si>
    <t xml:space="preserve">Retail banking</t>
  </si>
  <si>
    <t xml:space="preserve">U.S. Personal Banking</t>
  </si>
  <si>
    <t xml:space="preserve">Private bank</t>
  </si>
  <si>
    <t xml:space="preserve">Wealth at Work</t>
  </si>
  <si>
    <t xml:space="preserve">Citigold</t>
  </si>
  <si>
    <t xml:space="preserve">Global Wealth Management</t>
  </si>
  <si>
    <r>
      <rPr>
        <b val="true"/>
        <sz val="14"/>
        <color rgb="FF000000"/>
        <rFont val="Arial"/>
        <family val="2"/>
      </rPr>
      <t xml:space="preserve">Average deposits by reporting unit </t>
    </r>
    <r>
      <rPr>
        <sz val="14"/>
        <color rgb="FF000000"/>
        <rFont val="Arial"/>
        <family val="2"/>
      </rPr>
      <t xml:space="preserve">(in billions)</t>
    </r>
  </si>
  <si>
    <t xml:space="preserve">Metrics</t>
  </si>
  <si>
    <r>
      <rPr>
        <b val="true"/>
        <u val="single"/>
        <sz val="14"/>
        <color rgb="FF000000"/>
        <rFont val="Arial"/>
        <family val="2"/>
      </rPr>
      <t xml:space="preserve">U.S. Personal Banking Key Indicators</t>
    </r>
    <r>
      <rPr>
        <b val="true"/>
        <u val="single"/>
        <sz val="12"/>
        <color rgb="FF000000"/>
        <rFont val="Arial"/>
        <family val="2"/>
      </rPr>
      <t xml:space="preserve"> </t>
    </r>
    <r>
      <rPr>
        <u val="single"/>
        <sz val="12"/>
        <color rgb="FF000000"/>
        <rFont val="Arial"/>
        <family val="2"/>
      </rPr>
      <t xml:space="preserve">(in billions of dollars, except as otherwise noted)</t>
    </r>
  </si>
  <si>
    <t xml:space="preserve">New account acquisitions (in thousands)</t>
  </si>
  <si>
    <t xml:space="preserve">Credit card spend volume</t>
  </si>
  <si>
    <r>
      <rPr>
        <sz val="14"/>
        <color rgb="FF000000"/>
        <rFont val="Arial"/>
        <family val="2"/>
      </rPr>
      <t xml:space="preserve">Average loans</t>
    </r>
    <r>
      <rPr>
        <vertAlign val="superscript"/>
        <sz val="14"/>
        <color rgb="FF000000"/>
        <rFont val="Arial"/>
        <family val="2"/>
      </rPr>
      <t xml:space="preserve">(1)</t>
    </r>
  </si>
  <si>
    <r>
      <rPr>
        <sz val="14"/>
        <color rgb="FF000000"/>
        <rFont val="Arial"/>
        <family val="2"/>
      </rPr>
      <t xml:space="preserve">EOP loans</t>
    </r>
    <r>
      <rPr>
        <vertAlign val="superscript"/>
        <sz val="14"/>
        <color rgb="FF000000"/>
        <rFont val="Arial"/>
        <family val="2"/>
      </rPr>
      <t xml:space="preserve">(1)</t>
    </r>
  </si>
  <si>
    <r>
      <rPr>
        <sz val="14"/>
        <color rgb="FF000000"/>
        <rFont val="Arial"/>
        <family val="2"/>
      </rPr>
      <t xml:space="preserve">NII as a % of average loans</t>
    </r>
    <r>
      <rPr>
        <vertAlign val="superscript"/>
        <sz val="14"/>
        <color rgb="FF000000"/>
        <rFont val="Arial"/>
        <family val="2"/>
      </rPr>
      <t xml:space="preserve">(2)</t>
    </r>
  </si>
  <si>
    <t xml:space="preserve">NCLs as a % of average loans</t>
  </si>
  <si>
    <t xml:space="preserve">Loans 90+ days past due as a % of EOP loans</t>
  </si>
  <si>
    <t xml:space="preserve">Loans 30-89 days past due as a % of EOP loans</t>
  </si>
  <si>
    <t xml:space="preserve">Average deposits</t>
  </si>
  <si>
    <t xml:space="preserve">Branches (actual)</t>
  </si>
  <si>
    <t xml:space="preserve">Mortgage originations</t>
  </si>
  <si>
    <r>
      <rPr>
        <b val="true"/>
        <u val="single"/>
        <sz val="14"/>
        <color rgb="FF000000"/>
        <rFont val="Arial"/>
        <family val="2"/>
      </rPr>
      <t xml:space="preserve">Global Wealth Management Key Indicators </t>
    </r>
    <r>
      <rPr>
        <u val="single"/>
        <sz val="14"/>
        <color rgb="FF000000"/>
        <rFont val="Arial"/>
        <family val="2"/>
      </rPr>
      <t xml:space="preserve">(in billions of dollars)</t>
    </r>
  </si>
  <si>
    <t xml:space="preserve">Client assets</t>
  </si>
  <si>
    <t xml:space="preserve">Average loans</t>
  </si>
  <si>
    <t xml:space="preserve">U.S. mortgage originations</t>
  </si>
  <si>
    <t xml:space="preserve">Average loans, EOP loans and the related consumer delinquency amounts and ratios include interest and fees receivables balances.</t>
  </si>
  <si>
    <t xml:space="preserve">Net interest income includes certain fees that are recorded as interest revenue.</t>
  </si>
  <si>
    <r>
      <rPr>
        <b val="true"/>
        <sz val="16"/>
        <color rgb="FF000000"/>
        <rFont val="Arial"/>
        <family val="2"/>
      </rPr>
      <t xml:space="preserve">LEGACY FRANCHISES</t>
    </r>
    <r>
      <rPr>
        <b val="true"/>
        <vertAlign val="superscript"/>
        <sz val="16"/>
        <color rgb="FF000000"/>
        <rFont val="Arial"/>
        <family val="2"/>
      </rPr>
      <t xml:space="preserve">(1)</t>
    </r>
  </si>
  <si>
    <r>
      <rPr>
        <sz val="14"/>
        <color rgb="FF000000"/>
        <rFont val="Arial"/>
        <family val="2"/>
      </rPr>
      <t xml:space="preserve">Non-interest revenue</t>
    </r>
    <r>
      <rPr>
        <vertAlign val="superscript"/>
        <sz val="14"/>
        <color rgb="FF000000"/>
        <rFont val="Arial"/>
        <family val="2"/>
      </rPr>
      <t xml:space="preserve">(2)(3)</t>
    </r>
  </si>
  <si>
    <r>
      <rPr>
        <sz val="14"/>
        <color rgb="FF000000"/>
        <rFont val="Arial"/>
        <family val="2"/>
      </rPr>
      <t xml:space="preserve">Total operating expenses</t>
    </r>
    <r>
      <rPr>
        <vertAlign val="superscript"/>
        <sz val="14"/>
        <color rgb="FF000000"/>
        <rFont val="Arial"/>
        <family val="2"/>
      </rPr>
      <t xml:space="preserve">(3)(4)</t>
    </r>
  </si>
  <si>
    <t xml:space="preserve">Provisions for benefits and claims, HTM debt securities and other assets</t>
  </si>
  <si>
    <t xml:space="preserve">Asia Consumer</t>
  </si>
  <si>
    <t xml:space="preserve">Mexico Consumer/SBMM</t>
  </si>
  <si>
    <t xml:space="preserve">Legacy Holdings Assets</t>
  </si>
  <si>
    <r>
      <rPr>
        <b val="true"/>
        <u val="single"/>
        <sz val="14"/>
        <color rgb="FF000000"/>
        <rFont val="Arial"/>
        <family val="2"/>
      </rPr>
      <t xml:space="preserve">Asia Consumer - Key Indicators </t>
    </r>
    <r>
      <rPr>
        <u val="single"/>
        <sz val="14"/>
        <color rgb="FF000000"/>
        <rFont val="Arial"/>
        <family val="2"/>
      </rPr>
      <t xml:space="preserve">(in billions of dollars)</t>
    </r>
  </si>
  <si>
    <t xml:space="preserve">EOP loans</t>
  </si>
  <si>
    <t xml:space="preserve">EOP deposits</t>
  </si>
  <si>
    <r>
      <rPr>
        <b val="true"/>
        <u val="single"/>
        <sz val="14"/>
        <color rgb="FF000000"/>
        <rFont val="Arial"/>
        <family val="2"/>
      </rPr>
      <t xml:space="preserve">Mexico Consumer/SBMM - Key Indicators </t>
    </r>
    <r>
      <rPr>
        <u val="single"/>
        <sz val="14"/>
        <color rgb="FF000000"/>
        <rFont val="Arial"/>
        <family val="2"/>
      </rPr>
      <t xml:space="preserve">(in billions of dollars)</t>
    </r>
  </si>
  <si>
    <t xml:space="preserve">Loans 90+ days past due as a % of EOP loans (Mexico Consumer only)</t>
  </si>
  <si>
    <t xml:space="preserve">Loans 30-89 days past due as a % of EOP loans (Mexico Consumer only)</t>
  </si>
  <si>
    <r>
      <rPr>
        <b val="true"/>
        <u val="single"/>
        <sz val="14"/>
        <color rgb="FF000000"/>
        <rFont val="Arial"/>
        <family val="2"/>
      </rPr>
      <t xml:space="preserve">Legacy Holdings Assets - Key Indicators </t>
    </r>
    <r>
      <rPr>
        <u val="single"/>
        <sz val="14"/>
        <color rgb="FF000000"/>
        <rFont val="Arial"/>
        <family val="2"/>
      </rPr>
      <t xml:space="preserve">(in billions of dollars)</t>
    </r>
  </si>
  <si>
    <t xml:space="preserve">(1) </t>
  </si>
  <si>
    <t xml:space="preserve">Legacy Franchises consists of the consumer franchises in 13 markets across Asia and EMEA that Citi intends to exit or has exited (Asia Consumer); the consumer, small business &amp; middle-market banking</t>
  </si>
  <si>
    <t xml:space="preserve">(Mexico SBMM) operations in Mexico (collectively Mexico Consumer/SBMM); and Legacy Holdings Assets (primarily North America consumer mortgage loans and other legacy assets).</t>
  </si>
  <si>
    <t xml:space="preserve">See footnote 2 on page 1. </t>
  </si>
  <si>
    <t xml:space="preserve">See footnote 3 on page 1. </t>
  </si>
  <si>
    <t xml:space="preserve">See footnote 4 on page 1. </t>
  </si>
  <si>
    <r>
      <rPr>
        <b val="true"/>
        <sz val="16"/>
        <color rgb="FF000000"/>
        <rFont val="Arial"/>
        <family val="2"/>
      </rPr>
      <t xml:space="preserve">CORPORATE / OTHER</t>
    </r>
    <r>
      <rPr>
        <b val="true"/>
        <vertAlign val="superscript"/>
        <sz val="16"/>
        <color rgb="FF000000"/>
        <rFont val="Arial"/>
        <family val="2"/>
      </rPr>
      <t xml:space="preserve">(1)</t>
    </r>
  </si>
  <si>
    <t xml:space="preserve">Provisions for HTM debt securities and other assets</t>
  </si>
  <si>
    <r>
      <rPr>
        <b val="true"/>
        <sz val="14"/>
        <color rgb="FF000000"/>
        <rFont val="Arial"/>
        <family val="2"/>
      </rPr>
      <t xml:space="preserve">Income (loss) from discontinued operations, net of taxes</t>
    </r>
    <r>
      <rPr>
        <b val="true"/>
        <vertAlign val="superscript"/>
        <sz val="14"/>
        <color rgb="FF000000"/>
        <rFont val="Arial"/>
        <family val="2"/>
      </rPr>
      <t xml:space="preserve">(2)</t>
    </r>
  </si>
  <si>
    <t xml:space="preserve">Includes certain unallocated costs of global staff functions (including finance, risk, human resources, legal and compliance-related costs), other corporate expenses and</t>
  </si>
  <si>
    <t xml:space="preserve">unallocated global operations and technology expenses and income taxes, as well as Corporate Treasury Investment activities and discontinued operations.</t>
  </si>
  <si>
    <r>
      <rPr>
        <b val="true"/>
        <sz val="16"/>
        <color rgb="FF000000"/>
        <rFont val="Arial"/>
        <family val="2"/>
      </rPr>
      <t xml:space="preserve">AVERAGE BALANCES AND INTEREST RATES</t>
    </r>
    <r>
      <rPr>
        <b val="true"/>
        <vertAlign val="superscript"/>
        <sz val="16"/>
        <color rgb="FF000000"/>
        <rFont val="Arial"/>
        <family val="2"/>
      </rPr>
      <t xml:space="preserve">(1)(2)(3)(4)(5)</t>
    </r>
  </si>
  <si>
    <t xml:space="preserve">Taxable Equivalent Basis</t>
  </si>
  <si>
    <t xml:space="preserve">Average Volumes </t>
  </si>
  <si>
    <t xml:space="preserve">Interest</t>
  </si>
  <si>
    <r>
      <rPr>
        <b val="true"/>
        <sz val="14"/>
        <color rgb="FF000000"/>
        <rFont val="Arial"/>
        <family val="2"/>
      </rPr>
      <t xml:space="preserve">% Average Rate </t>
    </r>
    <r>
      <rPr>
        <b val="true"/>
        <vertAlign val="superscript"/>
        <sz val="14"/>
        <color rgb="FF000000"/>
        <rFont val="Arial"/>
        <family val="2"/>
      </rPr>
      <t xml:space="preserve">(4)</t>
    </r>
  </si>
  <si>
    <t xml:space="preserve">In millions of dollars, except as otherwise noted</t>
  </si>
  <si>
    <r>
      <rPr>
        <sz val="14"/>
        <color rgb="FF000000"/>
        <rFont val="Arial"/>
        <family val="2"/>
      </rPr>
      <t xml:space="preserve">Deposits with banks</t>
    </r>
    <r>
      <rPr>
        <vertAlign val="superscript"/>
        <sz val="14"/>
        <color rgb="FF000000"/>
        <rFont val="Arial"/>
        <family val="2"/>
      </rPr>
      <t xml:space="preserve"> </t>
    </r>
  </si>
  <si>
    <r>
      <rPr>
        <sz val="14"/>
        <color rgb="FF000000"/>
        <rFont val="Arial"/>
        <family val="2"/>
      </rPr>
      <t xml:space="preserve">Securities borrowed and purchased under resale agreements</t>
    </r>
    <r>
      <rPr>
        <vertAlign val="superscript"/>
        <sz val="14"/>
        <color rgb="FF000000"/>
        <rFont val="Arial"/>
        <family val="2"/>
      </rPr>
      <t xml:space="preserve">(6)</t>
    </r>
  </si>
  <si>
    <r>
      <rPr>
        <sz val="14"/>
        <color rgb="FF000000"/>
        <rFont val="Arial"/>
        <family val="2"/>
      </rPr>
      <t xml:space="preserve">Trading account assets</t>
    </r>
    <r>
      <rPr>
        <vertAlign val="superscript"/>
        <sz val="14"/>
        <color rgb="FF000000"/>
        <rFont val="Arial"/>
        <family val="2"/>
      </rPr>
      <t xml:space="preserve">(7) </t>
    </r>
  </si>
  <si>
    <t xml:space="preserve">Investments</t>
  </si>
  <si>
    <t xml:space="preserve">     Consumer loans</t>
  </si>
  <si>
    <t xml:space="preserve">     Corporate loans</t>
  </si>
  <si>
    <r>
      <rPr>
        <sz val="14"/>
        <color rgb="FF000000"/>
        <rFont val="Arial"/>
        <family val="2"/>
      </rPr>
      <t xml:space="preserve">Total loans (net of unearned income)</t>
    </r>
    <r>
      <rPr>
        <vertAlign val="superscript"/>
        <sz val="14"/>
        <color rgb="FF000000"/>
        <rFont val="Arial"/>
        <family val="2"/>
      </rPr>
      <t xml:space="preserve">(8)</t>
    </r>
  </si>
  <si>
    <t xml:space="preserve">Other interest-earning assets</t>
  </si>
  <si>
    <t xml:space="preserve">Total average interest-earning assets </t>
  </si>
  <si>
    <r>
      <rPr>
        <sz val="14"/>
        <color rgb="FF000000"/>
        <rFont val="Arial"/>
        <family val="2"/>
      </rPr>
      <t xml:space="preserve">Deposits</t>
    </r>
    <r>
      <rPr>
        <vertAlign val="superscript"/>
        <sz val="14"/>
        <color rgb="FF000000"/>
        <rFont val="Arial"/>
        <family val="2"/>
      </rPr>
      <t xml:space="preserve">(9)</t>
    </r>
  </si>
  <si>
    <r>
      <rPr>
        <sz val="14"/>
        <color rgb="FF000000"/>
        <rFont val="Arial"/>
        <family val="2"/>
      </rPr>
      <t xml:space="preserve">Securities loaned and sold under repurchase agreements</t>
    </r>
    <r>
      <rPr>
        <vertAlign val="superscript"/>
        <sz val="14"/>
        <color rgb="FF000000"/>
        <rFont val="Arial"/>
        <family val="2"/>
      </rPr>
      <t xml:space="preserve">(6)</t>
    </r>
  </si>
  <si>
    <r>
      <rPr>
        <sz val="14"/>
        <color rgb="FF000000"/>
        <rFont val="Arial"/>
        <family val="2"/>
      </rPr>
      <t xml:space="preserve">Trading account liabilities</t>
    </r>
    <r>
      <rPr>
        <vertAlign val="superscript"/>
        <sz val="14"/>
        <color rgb="FF000000"/>
        <rFont val="Arial"/>
        <family val="2"/>
      </rPr>
      <t xml:space="preserve">(7)</t>
    </r>
  </si>
  <si>
    <t xml:space="preserve">Short-term borrowings and other interest-bearing liabilities</t>
  </si>
  <si>
    <r>
      <rPr>
        <sz val="14"/>
        <color rgb="FF000000"/>
        <rFont val="Arial"/>
        <family val="2"/>
      </rPr>
      <t xml:space="preserve">Long-term debt</t>
    </r>
    <r>
      <rPr>
        <vertAlign val="superscript"/>
        <sz val="14"/>
        <color rgb="FF000000"/>
        <rFont val="Arial"/>
        <family val="2"/>
      </rPr>
      <t xml:space="preserve">(10)</t>
    </r>
  </si>
  <si>
    <t xml:space="preserve">Total average interest-bearing liabilities</t>
  </si>
  <si>
    <r>
      <rPr>
        <b val="true"/>
        <sz val="14"/>
        <color rgb="FF000000"/>
        <rFont val="Arial"/>
        <family val="2"/>
      </rPr>
      <t xml:space="preserve">Net interest income as a % of average interest-earning assets (NIM)</t>
    </r>
    <r>
      <rPr>
        <b val="true"/>
        <vertAlign val="superscript"/>
        <sz val="14"/>
        <color rgb="FF000000"/>
        <rFont val="Arial"/>
        <family val="2"/>
      </rPr>
      <t xml:space="preserve">(9)</t>
    </r>
  </si>
  <si>
    <t xml:space="preserve">4Q22 increase (decrease) from:</t>
  </si>
  <si>
    <t xml:space="preserve">bps</t>
  </si>
  <si>
    <t xml:space="preserve">Interest revenue and Net interest income include the taxable equivalent adjustments (based on the U.S. federal statutory tax rate of 21%) of $42 million for 4Q21, $46 million for 3Q22 and $33 million for 4Q22.</t>
  </si>
  <si>
    <t xml:space="preserve">Citigroup average balances and interest rates include both domestic and international operations.</t>
  </si>
  <si>
    <t xml:space="preserve">Monthly averages have been used by certain subsidiaries where daily averages are unavailable.</t>
  </si>
  <si>
    <t xml:space="preserve">Average rate percentage is calculated as annualized interest over average volumes.</t>
  </si>
  <si>
    <t xml:space="preserve">4Q22 is preliminary.</t>
  </si>
  <si>
    <t xml:space="preserve">(6)</t>
  </si>
  <si>
    <t xml:space="preserve">Average volumes of securities borrowed or purchased under agreements to resell and securities loaned or sold under agreements to repurchase are reported net pursuant to FIN 41; the related interest</t>
  </si>
  <si>
    <t xml:space="preserve">excludes the impact of ASU 2013-01 (Topic 210).</t>
  </si>
  <si>
    <t xml:space="preserve">(7)</t>
  </si>
  <si>
    <t xml:space="preserve">Interest expense on trading account liabilities of ICG is reported as a reduction of interest revenue. Interest revenue and interest expense on cash collateral positions are reported in trading account assets and</t>
  </si>
  <si>
    <t xml:space="preserve">trading account liabilities, respectively.</t>
  </si>
  <si>
    <t xml:space="preserve">(8)</t>
  </si>
  <si>
    <t xml:space="preserve">Nonperforming loans are included in the average loan balances.</t>
  </si>
  <si>
    <t xml:space="preserve">(9)</t>
  </si>
  <si>
    <t xml:space="preserve">(10)</t>
  </si>
  <si>
    <t xml:space="preserve">Excludes hybrid financial instruments with changes in fair value recorded in Principal transactions revenue.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</si>
</sst>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\$#,##0"/>
    <numFmt numFmtId="166" formatCode="_(* #,##0.00_);_(* \(#,##0.00\);_(* \-??_);_(@_)"/>
    <numFmt numFmtId="167" formatCode="_(\$* #,##0.00_);_(\$* \(#,##0.00\);_(\$* \-??_);_(@_)"/>
    <numFmt numFmtId="168" formatCode="General_)"/>
    <numFmt numFmtId="169" formatCode="0%"/>
    <numFmt numFmtId="170" formatCode="0.00%"/>
    <numFmt numFmtId="171" formatCode="[$-409]#,##0.00_);[RED]\(#,##0.00\)"/>
    <numFmt numFmtId="172" formatCode="0"/>
    <numFmt numFmtId="173" formatCode="_(* #,##0_);_(* \(#,##0\);_(* \-_);_(@_)"/>
    <numFmt numFmtId="174" formatCode="0%;\(0%\)"/>
    <numFmt numFmtId="175" formatCode="_(\$* #,##0_);_(\$* \(#,##0\);_(\$* \-??_);_(@_)"/>
    <numFmt numFmtId="176" formatCode="0.0%"/>
    <numFmt numFmtId="177" formatCode="_(\$* #,##0_);_(\$* \(#,##0\);_(\$* \-_);_(@_)"/>
    <numFmt numFmtId="178" formatCode="_(\$* #,##0.0_);_(\$* \(#,##0.0\);_(\$* \-??_);_(@_)"/>
    <numFmt numFmtId="179" formatCode="_(* #,##0_);_(* \(#,##0\);_(* \-??_);_(@_)"/>
    <numFmt numFmtId="180" formatCode="[$-409]d\-mmm\-yy"/>
    <numFmt numFmtId="181" formatCode="_(\$* #,##0.000_);_(\$* \(#,##0.000\);_(\$* \-??_);_(@_)"/>
    <numFmt numFmtId="182" formatCode="_(* #,##0_);_(* \(#,##0\);_(* \-?_);_(@_)"/>
    <numFmt numFmtId="183" formatCode="_(\$* #,##0_);_(\$* \(#,##0\);_(\$* \-?_);_(@_)"/>
    <numFmt numFmtId="184" formatCode="#,##0&quot; bps&quot;;\(#,##0&quot;) bps&quot;"/>
    <numFmt numFmtId="185" formatCode="#,##0.0"/>
    <numFmt numFmtId="186" formatCode="#,##0.00"/>
    <numFmt numFmtId="187" formatCode="_(* #,##0.0_);_(* \(#,##0.0\);_(* \-??_);_(@_)"/>
    <numFmt numFmtId="188" formatCode="0.00"/>
    <numFmt numFmtId="189" formatCode="_(* #,##0.0_);_(* \(#,##0.0\);_(* \-?_);_(@_)"/>
    <numFmt numFmtId="190" formatCode="_(* #,##0.0_);_(* \(#,##0.0\);_(* \-_);_(@_)"/>
    <numFmt numFmtId="191" formatCode="0.00%;\(0.00%\)"/>
  </numFmts>
  <fonts count="58">
    <font>
      <sz val="10"/>
      <name val="Times New Roman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sz val="12"/>
      <name val="Times New Roman"/>
      <family val="0"/>
    </font>
    <font>
      <sz val="10"/>
      <name val="Times New Roman"/>
      <family val="1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sz val="10"/>
      <name val="MS Serif"/>
      <family val="1"/>
    </font>
    <font>
      <sz val="10"/>
      <color rgb="FF800000"/>
      <name val="MS Serif"/>
      <family val="1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sz val="8"/>
      <name val="Arial"/>
      <family val="2"/>
    </font>
    <font>
      <b val="true"/>
      <sz val="12"/>
      <name val="Arial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2"/>
    </font>
    <font>
      <sz val="10"/>
      <color rgb="FF003366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name val="Arial"/>
      <family val="0"/>
    </font>
    <font>
      <b val="true"/>
      <sz val="11"/>
      <color rgb="FF333333"/>
      <name val="Calibri"/>
      <family val="2"/>
    </font>
    <font>
      <sz val="8"/>
      <name val="Arial"/>
      <family val="0"/>
    </font>
    <font>
      <b val="true"/>
      <sz val="8"/>
      <color rgb="FF000000"/>
      <name val="Arial"/>
      <family val="0"/>
    </font>
    <font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4"/>
      <name val="Arial"/>
      <family val="2"/>
    </font>
    <font>
      <b val="true"/>
      <sz val="14"/>
      <color rgb="FFFFFFFF"/>
      <name val="Arial"/>
      <family val="2"/>
    </font>
    <font>
      <sz val="14"/>
      <color rgb="FF000000"/>
      <name val="Arial"/>
      <family val="2"/>
    </font>
    <font>
      <b val="true"/>
      <sz val="14"/>
      <color rgb="FF000000"/>
      <name val="Arial"/>
      <family val="2"/>
    </font>
    <font>
      <b val="true"/>
      <sz val="14"/>
      <name val="Arial"/>
      <family val="2"/>
    </font>
    <font>
      <vertAlign val="superscript"/>
      <sz val="14"/>
      <color rgb="FF000000"/>
      <name val="Arial"/>
      <family val="2"/>
    </font>
    <font>
      <sz val="12"/>
      <color rgb="FF000000"/>
      <name val="Arial"/>
      <family val="2"/>
    </font>
    <font>
      <b val="true"/>
      <sz val="16"/>
      <color rgb="FF000000"/>
      <name val="Arial"/>
      <family val="2"/>
    </font>
    <font>
      <b val="true"/>
      <vertAlign val="superscript"/>
      <sz val="14"/>
      <color rgb="FF000000"/>
      <name val="Arial"/>
      <family val="2"/>
    </font>
    <font>
      <sz val="13"/>
      <color rgb="FF000000"/>
      <name val="Arial"/>
      <family val="2"/>
    </font>
    <font>
      <sz val="12"/>
      <color rgb="FF000000"/>
      <name val="MS Sans Serif"/>
      <family val="2"/>
    </font>
    <font>
      <b val="true"/>
      <sz val="12"/>
      <color rgb="FF000000"/>
      <name val="Arial"/>
      <family val="2"/>
    </font>
    <font>
      <b val="true"/>
      <sz val="15"/>
      <color rgb="FF000000"/>
      <name val="Arial"/>
      <family val="2"/>
    </font>
    <font>
      <sz val="14"/>
      <color rgb="FF000000"/>
      <name val="Times New Roman"/>
      <family val="1"/>
    </font>
    <font>
      <b val="true"/>
      <sz val="14"/>
      <color rgb="FF000000"/>
      <name val="MS Sans Serif"/>
      <family val="2"/>
    </font>
    <font>
      <sz val="12"/>
      <color rgb="FF000000"/>
      <name val="Times New Roman"/>
      <family val="1"/>
    </font>
    <font>
      <u val="single"/>
      <sz val="12"/>
      <color rgb="FF000000"/>
      <name val="Arial"/>
      <family val="2"/>
    </font>
    <font>
      <b val="true"/>
      <u val="single"/>
      <sz val="14"/>
      <color rgb="FF000000"/>
      <name val="Arial"/>
      <family val="2"/>
    </font>
    <font>
      <b val="true"/>
      <u val="single"/>
      <sz val="12"/>
      <color rgb="FF000000"/>
      <name val="Arial"/>
      <family val="2"/>
    </font>
    <font>
      <u val="single"/>
      <sz val="14"/>
      <color rgb="FF000000"/>
      <name val="Arial"/>
      <family val="2"/>
    </font>
    <font>
      <b val="true"/>
      <vertAlign val="superscript"/>
      <sz val="16"/>
      <color rgb="FF000000"/>
      <name val="Arial"/>
      <family val="2"/>
    </font>
    <font>
      <i val="true"/>
      <sz val="14"/>
      <color rgb="FF000000"/>
      <name val="Arial"/>
      <family val="2"/>
    </font>
    <font>
      <sz val="14"/>
      <color rgb="FF000000"/>
      <name val="MS Sans Serif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003366"/>
        <bgColor rgb="FF333399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C0C0C0"/>
      </left>
      <right style="thin">
        <color rgb="FF993366"/>
      </right>
      <top style="thin">
        <color rgb="FFC0C0C0"/>
      </top>
      <bottom style="thin">
        <color rgb="FF993366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dashed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dashed"/>
      <top style="medium"/>
      <bottom style="medium"/>
      <diagonal/>
    </border>
    <border diagonalUp="false" diagonalDown="false">
      <left/>
      <right style="dashed"/>
      <top/>
      <bottom style="thick"/>
      <diagonal/>
    </border>
    <border diagonalUp="false" diagonalDown="false">
      <left/>
      <right/>
      <top/>
      <bottom style="dashed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7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8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9" borderId="0" applyFont="true" applyBorder="false" applyAlignment="false" applyProtection="false"/>
    <xf numFmtId="164" fontId="6" fillId="3" borderId="0" applyFont="true" applyBorder="false" applyAlignment="false" applyProtection="false"/>
    <xf numFmtId="164" fontId="7" fillId="0" borderId="0" applyFont="true" applyBorder="false" applyAlignment="false" applyProtection="false"/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5" fontId="8" fillId="0" borderId="0" applyFont="true" applyBorder="false" applyAlignment="false" applyProtection="true">
      <protection locked="true" hidden="false"/>
    </xf>
    <xf numFmtId="164" fontId="9" fillId="7" borderId="1" applyFont="true" applyBorder="true" applyAlignment="false" applyProtection="false"/>
    <xf numFmtId="164" fontId="10" fillId="20" borderId="2" applyFont="true" applyBorder="tru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8" fontId="7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false" applyProtection="true">
      <protection locked="true" hidden="false"/>
    </xf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12" fillId="0" borderId="0" applyFont="true" applyBorder="true" applyAlignment="false" applyProtection="true">
      <protection locked="true" hidden="false"/>
    </xf>
    <xf numFmtId="164" fontId="13" fillId="0" borderId="0" applyFont="true" applyBorder="false" applyAlignment="false" applyProtection="false"/>
    <xf numFmtId="164" fontId="14" fillId="4" borderId="0" applyFont="true" applyBorder="false" applyAlignment="false" applyProtection="false"/>
    <xf numFmtId="164" fontId="15" fillId="7" borderId="0" applyFont="true" applyBorder="false" applyAlignment="false" applyProtection="false"/>
    <xf numFmtId="164" fontId="16" fillId="0" borderId="4" applyFont="true" applyBorder="true" applyAlignment="false" applyProtection="false"/>
    <xf numFmtId="164" fontId="16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6" applyFont="true" applyBorder="true" applyAlignment="false" applyProtection="false"/>
    <xf numFmtId="164" fontId="18" fillId="0" borderId="7" applyFont="true" applyBorder="true" applyAlignment="false" applyProtection="false"/>
    <xf numFmtId="164" fontId="19" fillId="0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7" borderId="1" applyFont="true" applyBorder="true" applyAlignment="false" applyProtection="false"/>
    <xf numFmtId="164" fontId="15" fillId="21" borderId="0" applyFont="true" applyBorder="false" applyAlignment="false" applyProtection="false"/>
    <xf numFmtId="164" fontId="21" fillId="0" borderId="9" applyFont="true" applyBorder="true" applyAlignment="false" applyProtection="false"/>
    <xf numFmtId="164" fontId="22" fillId="22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0" applyFont="true" applyBorder="true" applyAlignment="false" applyProtection="false"/>
    <xf numFmtId="164" fontId="29" fillId="7" borderId="11" applyFont="true" applyBorder="tru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30" fillId="0" borderId="0" applyFont="true" applyBorder="false" applyAlignment="false" applyProtection="false"/>
    <xf numFmtId="164" fontId="25" fillId="21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1" fillId="0" border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2" fillId="0" borderId="0" applyFont="true" applyBorder="false" applyAlignment="false" applyProtection="false"/>
    <xf numFmtId="164" fontId="33" fillId="0" borderId="13" applyFont="true" applyBorder="true" applyAlignment="false" applyProtection="false"/>
    <xf numFmtId="164" fontId="34" fillId="0" borderId="0" applyFont="true" applyBorder="false" applyAlignment="false" applyProtection="false"/>
  </cellStyleXfs>
  <cellXfs count="3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6" fillId="2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6" fillId="2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5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3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15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38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3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37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6" fontId="3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3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14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37" fillId="0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7" fillId="0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8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3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38" fillId="0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9" fontId="37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9" fontId="37" fillId="0" borderId="14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9" fontId="37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8" fontId="3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8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7" fontId="38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9" fontId="38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7" fillId="0" borderId="17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37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2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9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23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23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3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23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3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0" xfId="2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7" fillId="0" borderId="0" xfId="2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8" fillId="0" borderId="1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8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" fillId="0" borderId="0" xfId="2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8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8" fillId="0" borderId="1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8" fillId="0" borderId="5" xfId="2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8" fillId="0" borderId="0" xfId="2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7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7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2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2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2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2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2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23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2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2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2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0" borderId="0" xfId="2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7" fillId="0" borderId="0" xfId="2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7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7" fillId="0" borderId="0" xfId="23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37" fillId="0" borderId="1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0" xfId="23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37" fillId="0" borderId="1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2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23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233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8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23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7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2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7" fillId="0" borderId="14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7" fillId="0" borderId="5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7" fillId="0" borderId="15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2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2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7" fillId="0" borderId="14" xfId="2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38" fillId="0" borderId="16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37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38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37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38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8" fillId="0" borderId="0" xfId="23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41" fillId="0" borderId="1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8" fillId="0" borderId="0" xfId="2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37" fillId="0" borderId="0" xfId="23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6" fontId="37" fillId="0" borderId="0" xfId="23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7" fillId="0" borderId="18" xfId="2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3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7" fillId="0" borderId="1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38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38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3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37" fillId="0" borderId="2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2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7" fillId="0" borderId="0" xfId="2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7" fillId="0" borderId="0" xfId="2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7" fillId="0" borderId="0" xfId="2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8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3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3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8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1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7" fillId="0" borderId="1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37" fillId="24" borderId="1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37" fillId="2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7" fillId="24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37" fillId="2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24" borderId="23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38" fillId="2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2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2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2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2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23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0" xfId="23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2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23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7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1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7" fillId="0" borderId="0" xfId="2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2" fillId="0" borderId="0" xfId="2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7" fillId="0" borderId="0" xfId="23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0" fontId="37" fillId="0" borderId="0" xfId="23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0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3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4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37" fillId="0" borderId="0" xfId="233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3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3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4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7" fillId="0" borderId="0" xfId="2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0" xfId="23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2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8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7" fillId="0" borderId="0" xfId="8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37" fillId="0" borderId="0" xfId="8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38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3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xfId="7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38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37" fillId="0" borderId="14" xfId="7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38" fillId="0" borderId="26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38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8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3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8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8" fillId="0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8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8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38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8" fillId="0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38" fillId="0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38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37" fillId="0" borderId="0" xfId="15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8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3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6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Body" xfId="45"/>
    <cellStyle name="Calc Currency (0)" xfId="46"/>
    <cellStyle name="Calc Currency (0) 2" xfId="47"/>
    <cellStyle name="Calc Currency (0) 2 2" xfId="48"/>
    <cellStyle name="Calc Currency (0) 3" xfId="49"/>
    <cellStyle name="Calc Currency (0) 3 2" xfId="50"/>
    <cellStyle name="Calc Currency (0) 4" xfId="51"/>
    <cellStyle name="Calc Currency (0) 4 2" xfId="52"/>
    <cellStyle name="Calc Currency (0) 5" xfId="53"/>
    <cellStyle name="Calc Currency (0) 5 2" xfId="54"/>
    <cellStyle name="Calc Currency (0) 6" xfId="55"/>
    <cellStyle name="Calc Currency (0) 6 2" xfId="56"/>
    <cellStyle name="Calc Currency (0) 7" xfId="57"/>
    <cellStyle name="Calc Currency (0) 7 2" xfId="58"/>
    <cellStyle name="Calc Currency (0) 8" xfId="59"/>
    <cellStyle name="Calculation" xfId="60"/>
    <cellStyle name="Check Cell" xfId="61"/>
    <cellStyle name="Comma 2" xfId="62"/>
    <cellStyle name="Comma 2 2" xfId="63"/>
    <cellStyle name="Comma 2 3" xfId="64"/>
    <cellStyle name="Comma 2 3 2" xfId="65"/>
    <cellStyle name="Comma 2 4" xfId="66"/>
    <cellStyle name="Comma 3" xfId="67"/>
    <cellStyle name="Comma 3 2" xfId="68"/>
    <cellStyle name="Comma 3 3" xfId="69"/>
    <cellStyle name="Comma 4" xfId="70"/>
    <cellStyle name="Comma 5" xfId="71"/>
    <cellStyle name="Comma 6" xfId="72"/>
    <cellStyle name="Comma 6 2" xfId="73"/>
    <cellStyle name="Comma 7" xfId="74"/>
    <cellStyle name="Comma 9" xfId="75"/>
    <cellStyle name="Comma 9 2" xfId="76"/>
    <cellStyle name="Comma 9 2 2" xfId="77"/>
    <cellStyle name="COMMA, 0" xfId="78"/>
    <cellStyle name="Copied" xfId="79"/>
    <cellStyle name="Currency 2" xfId="80"/>
    <cellStyle name="Currency 2 2" xfId="81"/>
    <cellStyle name="Currency 2 3" xfId="82"/>
    <cellStyle name="Currency 3" xfId="83"/>
    <cellStyle name="Currency 3 2" xfId="84"/>
    <cellStyle name="Currency 3 2 2" xfId="85"/>
    <cellStyle name="Currency 3 3" xfId="86"/>
    <cellStyle name="Currency 3 3 2" xfId="87"/>
    <cellStyle name="Currency 3 4" xfId="88"/>
    <cellStyle name="Currency 3 4 2" xfId="89"/>
    <cellStyle name="Currency 3 5" xfId="90"/>
    <cellStyle name="Currency 3 5 2" xfId="91"/>
    <cellStyle name="Currency 3 6" xfId="92"/>
    <cellStyle name="Currency 3 6 2" xfId="93"/>
    <cellStyle name="Currency 3 7" xfId="94"/>
    <cellStyle name="Currency 4" xfId="95"/>
    <cellStyle name="Currency 4 2" xfId="96"/>
    <cellStyle name="Currency 8" xfId="97"/>
    <cellStyle name="Currency 8 2" xfId="98"/>
    <cellStyle name="Currency 8 2 2" xfId="99"/>
    <cellStyle name="Entered" xfId="100"/>
    <cellStyle name="Explanatory Text" xfId="101"/>
    <cellStyle name="Good 1" xfId="102"/>
    <cellStyle name="Grey" xfId="103"/>
    <cellStyle name="Header1" xfId="104"/>
    <cellStyle name="Header2" xfId="105"/>
    <cellStyle name="Heading 1 1" xfId="106"/>
    <cellStyle name="Heading 2 1" xfId="107"/>
    <cellStyle name="Heading 3" xfId="108"/>
    <cellStyle name="Heading 4" xfId="109"/>
    <cellStyle name="Input" xfId="110"/>
    <cellStyle name="Input [yellow]" xfId="111"/>
    <cellStyle name="Linked Cell" xfId="112"/>
    <cellStyle name="Neutral 1" xfId="113"/>
    <cellStyle name="Normal - Style1" xfId="114"/>
    <cellStyle name="Normal - Style1 2" xfId="115"/>
    <cellStyle name="Normal - Style1 2 2" xfId="116"/>
    <cellStyle name="Normal - Style1 3" xfId="117"/>
    <cellStyle name="Normal - Style1 3 2" xfId="118"/>
    <cellStyle name="Normal - Style1 4" xfId="119"/>
    <cellStyle name="Normal - Style1 4 2" xfId="120"/>
    <cellStyle name="Normal - Style1 5" xfId="121"/>
    <cellStyle name="Normal - Style1 5 2" xfId="122"/>
    <cellStyle name="Normal - Style1 6" xfId="123"/>
    <cellStyle name="Normal - Style1 6 2" xfId="124"/>
    <cellStyle name="Normal - Style1 7" xfId="125"/>
    <cellStyle name="Normal - Style1 7 2" xfId="126"/>
    <cellStyle name="Normal - Style1 8" xfId="127"/>
    <cellStyle name="Normal 10" xfId="128"/>
    <cellStyle name="Normal 10 2" xfId="129"/>
    <cellStyle name="Normal 10 2 2" xfId="130"/>
    <cellStyle name="Normal 10 3" xfId="131"/>
    <cellStyle name="Normal 11" xfId="132"/>
    <cellStyle name="Normal 11 2" xfId="133"/>
    <cellStyle name="Normal 11 2 2" xfId="134"/>
    <cellStyle name="Normal 11 3" xfId="135"/>
    <cellStyle name="Normal 12" xfId="136"/>
    <cellStyle name="Normal 12 2" xfId="137"/>
    <cellStyle name="Normal 12 3" xfId="138"/>
    <cellStyle name="Normal 13" xfId="139"/>
    <cellStyle name="Normal 13 2" xfId="140"/>
    <cellStyle name="Normal 13 3" xfId="141"/>
    <cellStyle name="Normal 14" xfId="142"/>
    <cellStyle name="Normal 14 2" xfId="143"/>
    <cellStyle name="Normal 14 3" xfId="144"/>
    <cellStyle name="Normal 15" xfId="145"/>
    <cellStyle name="Normal 15 2" xfId="146"/>
    <cellStyle name="Normal 15 2 2" xfId="147"/>
    <cellStyle name="Normal 15 3" xfId="148"/>
    <cellStyle name="Normal 15 4" xfId="149"/>
    <cellStyle name="Normal 16" xfId="150"/>
    <cellStyle name="Normal 16 2" xfId="151"/>
    <cellStyle name="Normal 16 3" xfId="152"/>
    <cellStyle name="Normal 17" xfId="153"/>
    <cellStyle name="Normal 17 2" xfId="154"/>
    <cellStyle name="Normal 18" xfId="155"/>
    <cellStyle name="Normal 18 2" xfId="156"/>
    <cellStyle name="Normal 19" xfId="157"/>
    <cellStyle name="Normal 19 2" xfId="158"/>
    <cellStyle name="Normal 2" xfId="159"/>
    <cellStyle name="Normal 2 2" xfId="160"/>
    <cellStyle name="Normal 2 2 2" xfId="161"/>
    <cellStyle name="Normal 2 2 2 2" xfId="162"/>
    <cellStyle name="Normal 2 2 3" xfId="163"/>
    <cellStyle name="Normal 2 2 4" xfId="164"/>
    <cellStyle name="Normal 2 3" xfId="165"/>
    <cellStyle name="Normal 2 4" xfId="166"/>
    <cellStyle name="Normal 2 5" xfId="167"/>
    <cellStyle name="Normal 20" xfId="168"/>
    <cellStyle name="Normal 20 2" xfId="169"/>
    <cellStyle name="Normal 21" xfId="170"/>
    <cellStyle name="Normal 21 2" xfId="171"/>
    <cellStyle name="Normal 22" xfId="172"/>
    <cellStyle name="Normal 22 2" xfId="173"/>
    <cellStyle name="Normal 23" xfId="174"/>
    <cellStyle name="Normal 23 2" xfId="175"/>
    <cellStyle name="Normal 24" xfId="176"/>
    <cellStyle name="Normal 24 2" xfId="177"/>
    <cellStyle name="Normal 25" xfId="178"/>
    <cellStyle name="Normal 25 2" xfId="179"/>
    <cellStyle name="Normal 26" xfId="180"/>
    <cellStyle name="Normal 26 2" xfId="181"/>
    <cellStyle name="Normal 27" xfId="182"/>
    <cellStyle name="Normal 27 2" xfId="183"/>
    <cellStyle name="Normal 28" xfId="184"/>
    <cellStyle name="Normal 28 2" xfId="185"/>
    <cellStyle name="Normal 29" xfId="186"/>
    <cellStyle name="Normal 29 2" xfId="187"/>
    <cellStyle name="Normal 3" xfId="188"/>
    <cellStyle name="Normal 3 2" xfId="189"/>
    <cellStyle name="Normal 3 2 2" xfId="190"/>
    <cellStyle name="Normal 3 2 2 2" xfId="191"/>
    <cellStyle name="Normal 3 2 3" xfId="192"/>
    <cellStyle name="Normal 3 3" xfId="193"/>
    <cellStyle name="Normal 30" xfId="194"/>
    <cellStyle name="Normal 30 2" xfId="195"/>
    <cellStyle name="Normal 31" xfId="196"/>
    <cellStyle name="Normal 31 2" xfId="197"/>
    <cellStyle name="Normal 32" xfId="198"/>
    <cellStyle name="Normal 32 2" xfId="199"/>
    <cellStyle name="Normal 33" xfId="200"/>
    <cellStyle name="Normal 33 2" xfId="201"/>
    <cellStyle name="Normal 34" xfId="202"/>
    <cellStyle name="Normal 35" xfId="203"/>
    <cellStyle name="Normal 36" xfId="204"/>
    <cellStyle name="Normal 4" xfId="205"/>
    <cellStyle name="Normal 4 2" xfId="206"/>
    <cellStyle name="Normal 4 2 2" xfId="207"/>
    <cellStyle name="Normal 4 2 2 2" xfId="208"/>
    <cellStyle name="Normal 4 2 3" xfId="209"/>
    <cellStyle name="Normal 4 3" xfId="210"/>
    <cellStyle name="Normal 5" xfId="211"/>
    <cellStyle name="Normal 5 2" xfId="212"/>
    <cellStyle name="Normal 5 3" xfId="213"/>
    <cellStyle name="Normal 5 3 2" xfId="214"/>
    <cellStyle name="Normal 5 4" xfId="215"/>
    <cellStyle name="Normal 6" xfId="216"/>
    <cellStyle name="Normal 6 2" xfId="217"/>
    <cellStyle name="Normal 6 2 2" xfId="218"/>
    <cellStyle name="Normal 6 3" xfId="219"/>
    <cellStyle name="Normal 7" xfId="220"/>
    <cellStyle name="Normal 7 2" xfId="221"/>
    <cellStyle name="Normal 7 2 2" xfId="222"/>
    <cellStyle name="Normal 7 3" xfId="223"/>
    <cellStyle name="Normal 8" xfId="224"/>
    <cellStyle name="Normal 8 2" xfId="225"/>
    <cellStyle name="Normal 8 2 2" xfId="226"/>
    <cellStyle name="Normal 8 3" xfId="227"/>
    <cellStyle name="Normal 9" xfId="228"/>
    <cellStyle name="Normal 9 2" xfId="229"/>
    <cellStyle name="Normal 9 2 2" xfId="230"/>
    <cellStyle name="Normal 9 3" xfId="231"/>
    <cellStyle name="Normal_1q00-supp" xfId="232"/>
    <cellStyle name="Normal_2000qer1s" xfId="233"/>
    <cellStyle name="Normal_4Q Asset mgmt PRS" xfId="234"/>
    <cellStyle name="Normal_citigroup BS-growth analysis" xfId="235"/>
    <cellStyle name="Normal_New Supplement v26" xfId="236"/>
    <cellStyle name="Normal_NIS" xfId="237"/>
    <cellStyle name="Normal_qer074s" xfId="238"/>
    <cellStyle name="Normal_Sept21" xfId="239"/>
    <cellStyle name="Note 1" xfId="240"/>
    <cellStyle name="Output" xfId="241"/>
    <cellStyle name="Percent 10" xfId="242"/>
    <cellStyle name="Percent 10 2" xfId="243"/>
    <cellStyle name="Percent 11" xfId="244"/>
    <cellStyle name="Percent 11 2" xfId="245"/>
    <cellStyle name="Percent 12" xfId="246"/>
    <cellStyle name="Percent 13" xfId="247"/>
    <cellStyle name="Percent 14" xfId="248"/>
    <cellStyle name="Percent 2" xfId="249"/>
    <cellStyle name="Percent 2 2" xfId="250"/>
    <cellStyle name="Percent 2 2 2" xfId="251"/>
    <cellStyle name="Percent 2 2 2 2" xfId="252"/>
    <cellStyle name="Percent 2 3" xfId="253"/>
    <cellStyle name="Percent 3" xfId="254"/>
    <cellStyle name="Percent 3 2" xfId="255"/>
    <cellStyle name="Percent 3 2 2" xfId="256"/>
    <cellStyle name="Percent 3 3" xfId="257"/>
    <cellStyle name="Percent 4" xfId="258"/>
    <cellStyle name="Percent 4 2" xfId="259"/>
    <cellStyle name="Percent 4 2 2" xfId="260"/>
    <cellStyle name="Percent 5" xfId="261"/>
    <cellStyle name="Percent 5 2" xfId="262"/>
    <cellStyle name="Percent 5 2 2" xfId="263"/>
    <cellStyle name="Percent 6" xfId="264"/>
    <cellStyle name="Percent 7" xfId="265"/>
    <cellStyle name="Percent 8" xfId="266"/>
    <cellStyle name="Percent 8 2" xfId="267"/>
    <cellStyle name="Percent 9" xfId="268"/>
    <cellStyle name="Percent 9 2" xfId="269"/>
    <cellStyle name="Percent [2]" xfId="270"/>
    <cellStyle name="RevList" xfId="271"/>
    <cellStyle name="SelectFormat" xfId="272"/>
    <cellStyle name="SHEET2!Normal" xfId="273"/>
    <cellStyle name="Subtotal" xfId="274"/>
    <cellStyle name="Title" xfId="275"/>
    <cellStyle name="Total" xfId="276"/>
    <cellStyle name="Warning Text" xfId="27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zeroHeight="false" outlineLevelRow="0" outlineLevelCol="0"/>
  <cols>
    <col collapsed="false" customWidth="true" hidden="false" outlineLevel="0" max="2" min="2" style="0" width="93.15"/>
    <col collapsed="false" customWidth="true" hidden="false" outlineLevel="0" max="4" min="3" style="0" width="13.15"/>
    <col collapsed="false" customWidth="true" hidden="false" outlineLevel="0" max="5" min="5" style="0" width="17.99"/>
  </cols>
  <sheetData>
    <row r="3" customFormat="false" ht="65.65" hidden="false" customHeight="false" outlineLevel="0" collapsed="false">
      <c r="A3" s="1"/>
      <c r="B3" s="2" t="s">
        <v>0</v>
      </c>
      <c r="C3" s="3" t="s">
        <v>1</v>
      </c>
      <c r="D3" s="3" t="s">
        <v>2</v>
      </c>
      <c r="E3" s="4" t="s">
        <v>3</v>
      </c>
      <c r="F3" s="1"/>
      <c r="G3" s="1"/>
      <c r="H3" s="1"/>
      <c r="I3" s="1"/>
    </row>
    <row r="4" customFormat="false" ht="19.35" hidden="false" customHeight="false" outlineLevel="0" collapsed="false">
      <c r="A4" s="1"/>
      <c r="B4" s="5" t="s">
        <v>4</v>
      </c>
      <c r="C4" s="6" t="n">
        <v>9159</v>
      </c>
      <c r="D4" s="6" t="n">
        <v>8908</v>
      </c>
      <c r="E4" s="7" t="n">
        <f aca="false">C4/D4-1</f>
        <v>0.028176919622811</v>
      </c>
      <c r="F4" s="1"/>
      <c r="G4" s="1"/>
      <c r="H4" s="1"/>
      <c r="I4" s="1"/>
    </row>
    <row r="5" customFormat="false" ht="19.35" hidden="false" customHeight="false" outlineLevel="0" collapsed="false">
      <c r="A5" s="1"/>
      <c r="B5" s="5" t="s">
        <v>5</v>
      </c>
      <c r="C5" s="6" t="n">
        <v>6096</v>
      </c>
      <c r="D5" s="6" t="n">
        <v>5785</v>
      </c>
      <c r="E5" s="7" t="n">
        <f aca="false">C5/D5-1</f>
        <v>0.0537597234226448</v>
      </c>
      <c r="F5" s="1"/>
      <c r="G5" s="1"/>
      <c r="H5" s="1"/>
      <c r="I5" s="1"/>
    </row>
    <row r="6" customFormat="false" ht="19.35" hidden="false" customHeight="false" outlineLevel="0" collapsed="false">
      <c r="A6" s="1"/>
      <c r="B6" s="5" t="s">
        <v>6</v>
      </c>
      <c r="C6" s="6" t="n">
        <v>2052</v>
      </c>
      <c r="D6" s="6" t="n">
        <v>2193</v>
      </c>
      <c r="E6" s="7" t="n">
        <f aca="false">C6/D6-1</f>
        <v>-0.0642954856361149</v>
      </c>
      <c r="F6" s="1"/>
      <c r="G6" s="1"/>
      <c r="H6" s="1"/>
      <c r="I6" s="1"/>
    </row>
    <row r="7" customFormat="false" ht="19.35" hidden="false" customHeight="false" outlineLevel="0" collapsed="false">
      <c r="A7" s="1"/>
      <c r="B7" s="5" t="s">
        <v>7</v>
      </c>
      <c r="C7" s="6" t="n">
        <v>699</v>
      </c>
      <c r="D7" s="6" t="n">
        <v>131</v>
      </c>
      <c r="E7" s="7" t="s">
        <v>8</v>
      </c>
      <c r="F7" s="1"/>
      <c r="G7" s="1"/>
      <c r="H7" s="1"/>
      <c r="I7" s="1"/>
    </row>
    <row r="8" customFormat="false" ht="19.35" hidden="false" customHeight="false" outlineLevel="0" collapsed="false">
      <c r="A8" s="1"/>
      <c r="B8" s="8" t="s">
        <v>9</v>
      </c>
      <c r="C8" s="9" t="n">
        <f aca="false">SUM(C4:C7)</f>
        <v>18006</v>
      </c>
      <c r="D8" s="9" t="n">
        <f aca="false">SUM(D4:D7)</f>
        <v>17017</v>
      </c>
      <c r="E8" s="10" t="n">
        <f aca="false">C8/D8-1</f>
        <v>0.0581183522359994</v>
      </c>
      <c r="F8" s="1"/>
      <c r="G8" s="1"/>
      <c r="H8" s="1"/>
      <c r="I8" s="1"/>
    </row>
    <row r="9" customFormat="false" ht="19.35" hidden="false" customHeight="false" outlineLevel="0" collapsed="false">
      <c r="A9" s="1"/>
      <c r="B9" s="1"/>
      <c r="C9" s="6"/>
      <c r="D9" s="6"/>
      <c r="E9" s="7"/>
      <c r="F9" s="1"/>
      <c r="G9" s="1"/>
      <c r="H9" s="1"/>
      <c r="I9" s="1"/>
    </row>
    <row r="10" customFormat="false" ht="19.35" hidden="false" customHeight="false" outlineLevel="0" collapsed="false">
      <c r="A10" s="1"/>
      <c r="B10" s="11" t="s">
        <v>10</v>
      </c>
      <c r="C10" s="12" t="n">
        <v>12985</v>
      </c>
      <c r="D10" s="12" t="n">
        <v>13532</v>
      </c>
      <c r="E10" s="13" t="n">
        <f aca="false">C10/D10-1</f>
        <v>-0.0404227017440142</v>
      </c>
      <c r="F10" s="1"/>
      <c r="G10" s="1"/>
      <c r="H10" s="1"/>
      <c r="I10" s="1"/>
    </row>
    <row r="11" customFormat="false" ht="19.35" hidden="false" customHeight="false" outlineLevel="0" collapsed="false">
      <c r="A11" s="1"/>
      <c r="B11" s="1"/>
      <c r="C11" s="6"/>
      <c r="D11" s="6"/>
      <c r="E11" s="7"/>
      <c r="F11" s="1"/>
      <c r="G11" s="1"/>
      <c r="H11" s="1"/>
      <c r="I11" s="1"/>
    </row>
    <row r="12" customFormat="false" ht="19.35" hidden="false" customHeight="false" outlineLevel="0" collapsed="false">
      <c r="A12" s="1"/>
      <c r="B12" s="5" t="s">
        <v>11</v>
      </c>
      <c r="C12" s="6" t="n">
        <v>1180</v>
      </c>
      <c r="D12" s="6" t="n">
        <v>866</v>
      </c>
      <c r="E12" s="7" t="n">
        <f aca="false">C12/D12-1</f>
        <v>0.362586605080832</v>
      </c>
      <c r="F12" s="1"/>
      <c r="G12" s="1"/>
      <c r="H12" s="1"/>
      <c r="I12" s="1"/>
    </row>
    <row r="13" customFormat="false" ht="19.35" hidden="false" customHeight="false" outlineLevel="0" collapsed="false">
      <c r="A13" s="1"/>
      <c r="B13" s="5" t="s">
        <v>12</v>
      </c>
      <c r="C13" s="6" t="n">
        <v>640</v>
      </c>
      <c r="D13" s="6" t="n">
        <v>-1369</v>
      </c>
      <c r="E13" s="7" t="s">
        <v>8</v>
      </c>
      <c r="F13" s="1"/>
      <c r="G13" s="1"/>
      <c r="H13" s="1"/>
      <c r="I13" s="1"/>
    </row>
    <row r="14" customFormat="false" ht="19.35" hidden="false" customHeight="false" outlineLevel="0" collapsed="false">
      <c r="A14" s="1"/>
      <c r="B14" s="5" t="s">
        <v>13</v>
      </c>
      <c r="C14" s="6" t="n">
        <v>25</v>
      </c>
      <c r="D14" s="6" t="n">
        <v>38</v>
      </c>
      <c r="E14" s="7" t="n">
        <f aca="false">C14/D14-1</f>
        <v>-0.342105263157895</v>
      </c>
      <c r="F14" s="1"/>
      <c r="G14" s="1"/>
      <c r="H14" s="1"/>
      <c r="I14" s="1"/>
    </row>
    <row r="15" customFormat="false" ht="19.35" hidden="false" customHeight="false" outlineLevel="0" collapsed="false">
      <c r="A15" s="1"/>
      <c r="B15" s="8" t="s">
        <v>14</v>
      </c>
      <c r="C15" s="9" t="n">
        <f aca="false">SUM(C12:C14)</f>
        <v>1845</v>
      </c>
      <c r="D15" s="9" t="n">
        <f aca="false">SUM(D12:D14)</f>
        <v>-465</v>
      </c>
      <c r="E15" s="10" t="s">
        <v>8</v>
      </c>
      <c r="F15" s="1"/>
      <c r="G15" s="1"/>
      <c r="H15" s="1"/>
      <c r="I15" s="1"/>
    </row>
    <row r="16" customFormat="false" ht="19.35" hidden="false" customHeight="false" outlineLevel="0" collapsed="false">
      <c r="A16" s="1"/>
      <c r="B16" s="1"/>
      <c r="C16" s="6"/>
      <c r="D16" s="6"/>
      <c r="E16" s="7"/>
      <c r="F16" s="1"/>
      <c r="G16" s="1"/>
      <c r="H16" s="1"/>
      <c r="I16" s="1"/>
    </row>
    <row r="17" customFormat="false" ht="19.35" hidden="false" customHeight="false" outlineLevel="0" collapsed="false">
      <c r="A17" s="1"/>
      <c r="B17" s="8" t="s">
        <v>15</v>
      </c>
      <c r="C17" s="12" t="n">
        <f aca="false">C8-C10-C15</f>
        <v>3176</v>
      </c>
      <c r="D17" s="12" t="n">
        <f aca="false">D8-D10-D15</f>
        <v>3950</v>
      </c>
      <c r="E17" s="13" t="n">
        <f aca="false">C17/D17-1</f>
        <v>-0.195949367088608</v>
      </c>
      <c r="F17" s="1"/>
      <c r="G17" s="1"/>
      <c r="H17" s="1"/>
      <c r="I17" s="1"/>
    </row>
    <row r="18" customFormat="false" ht="19.35" hidden="false" customHeight="false" outlineLevel="0" collapsed="false">
      <c r="A18" s="1"/>
      <c r="B18" s="1" t="s">
        <v>16</v>
      </c>
      <c r="C18" s="6" t="n">
        <v>640</v>
      </c>
      <c r="D18" s="6" t="n">
        <v>771</v>
      </c>
      <c r="E18" s="7" t="n">
        <f aca="false">C18/D18-1</f>
        <v>-0.169909208819715</v>
      </c>
      <c r="F18" s="1"/>
      <c r="G18" s="1"/>
      <c r="H18" s="1"/>
      <c r="I18" s="1"/>
    </row>
    <row r="19" customFormat="false" ht="19.35" hidden="false" customHeight="false" outlineLevel="0" collapsed="false">
      <c r="A19" s="1"/>
      <c r="B19" s="8" t="s">
        <v>17</v>
      </c>
      <c r="C19" s="9" t="n">
        <f aca="false">C17-C18</f>
        <v>2536</v>
      </c>
      <c r="D19" s="9" t="n">
        <f aca="false">D17-D18</f>
        <v>3179</v>
      </c>
      <c r="E19" s="10" t="n">
        <f aca="false">C19/D19-1</f>
        <v>-0.202264863164517</v>
      </c>
      <c r="F19" s="1"/>
      <c r="G19" s="1"/>
      <c r="H19" s="1"/>
      <c r="I19" s="1"/>
    </row>
    <row r="20" customFormat="false" ht="19.35" hidden="false" customHeight="false" outlineLevel="0" collapsed="false">
      <c r="A20" s="1"/>
      <c r="B20" s="1" t="s">
        <v>18</v>
      </c>
      <c r="C20" s="6" t="n">
        <v>-2</v>
      </c>
      <c r="D20" s="6" t="n">
        <v>0</v>
      </c>
      <c r="E20" s="7" t="s">
        <v>8</v>
      </c>
      <c r="F20" s="1"/>
      <c r="G20" s="1"/>
      <c r="H20" s="1"/>
      <c r="I20" s="1"/>
    </row>
    <row r="21" customFormat="false" ht="19.35" hidden="false" customHeight="false" outlineLevel="0" collapsed="false">
      <c r="A21" s="1"/>
      <c r="B21" s="1" t="s">
        <v>19</v>
      </c>
      <c r="C21" s="6" t="n">
        <v>21</v>
      </c>
      <c r="D21" s="6" t="n">
        <v>6</v>
      </c>
      <c r="E21" s="7" t="s">
        <v>8</v>
      </c>
      <c r="F21" s="1"/>
      <c r="G21" s="1"/>
      <c r="H21" s="1"/>
      <c r="I21" s="1"/>
    </row>
    <row r="22" customFormat="false" ht="19.35" hidden="false" customHeight="false" outlineLevel="0" collapsed="false">
      <c r="A22" s="1"/>
      <c r="B22" s="8" t="s">
        <v>20</v>
      </c>
      <c r="C22" s="9" t="n">
        <f aca="false">C19+C20-C21</f>
        <v>2513</v>
      </c>
      <c r="D22" s="9" t="n">
        <f aca="false">D19+D20-D21</f>
        <v>3173</v>
      </c>
      <c r="E22" s="10" t="n">
        <f aca="false">C22/D22-1</f>
        <v>-0.208005042546486</v>
      </c>
      <c r="F22" s="1"/>
      <c r="G22" s="1"/>
      <c r="H22" s="1"/>
      <c r="I22" s="1"/>
    </row>
    <row r="23" customFormat="false" ht="19.35" hidden="false" customHeight="false" outlineLevel="0" collapsed="false">
      <c r="A23" s="1"/>
      <c r="B23" s="1"/>
      <c r="C23" s="6"/>
      <c r="D23" s="6"/>
      <c r="E23" s="7"/>
      <c r="F23" s="1"/>
      <c r="G23" s="1"/>
      <c r="H23" s="1"/>
      <c r="I23" s="1"/>
    </row>
    <row r="24" customFormat="false" ht="19.35" hidden="false" customHeight="false" outlineLevel="0" collapsed="false">
      <c r="A24" s="1"/>
      <c r="B24" s="1" t="s">
        <v>21</v>
      </c>
      <c r="C24" s="6"/>
      <c r="D24" s="6"/>
      <c r="E24" s="7"/>
      <c r="F24" s="1"/>
      <c r="G24" s="1"/>
      <c r="H24" s="1"/>
      <c r="I24" s="1"/>
    </row>
    <row r="25" customFormat="false" ht="19.35" hidden="false" customHeight="false" outlineLevel="0" collapsed="false">
      <c r="A25" s="1"/>
      <c r="B25" s="5" t="s">
        <v>4</v>
      </c>
      <c r="C25" s="6" t="n">
        <v>1916</v>
      </c>
      <c r="D25" s="6" t="n">
        <v>2330</v>
      </c>
      <c r="E25" s="7" t="n">
        <f aca="false">C25/D25-1</f>
        <v>-0.177682403433476</v>
      </c>
      <c r="F25" s="1"/>
      <c r="G25" s="1"/>
      <c r="H25" s="1"/>
      <c r="I25" s="1"/>
    </row>
    <row r="26" customFormat="false" ht="19.35" hidden="false" customHeight="false" outlineLevel="0" collapsed="false">
      <c r="A26" s="1"/>
      <c r="B26" s="5" t="s">
        <v>5</v>
      </c>
      <c r="C26" s="6" t="n">
        <v>114</v>
      </c>
      <c r="D26" s="6" t="n">
        <v>1613</v>
      </c>
      <c r="E26" s="7" t="n">
        <f aca="false">C26/D26-1</f>
        <v>-0.929324240545567</v>
      </c>
      <c r="F26" s="1"/>
      <c r="G26" s="1"/>
      <c r="H26" s="1"/>
      <c r="I26" s="1"/>
    </row>
    <row r="27" customFormat="false" ht="19.35" hidden="false" customHeight="false" outlineLevel="0" collapsed="false">
      <c r="A27" s="1"/>
      <c r="B27" s="5" t="s">
        <v>6</v>
      </c>
      <c r="C27" s="6" t="n">
        <v>75</v>
      </c>
      <c r="D27" s="6" t="n">
        <v>-620</v>
      </c>
      <c r="E27" s="7" t="s">
        <v>8</v>
      </c>
      <c r="F27" s="1"/>
      <c r="G27" s="1"/>
      <c r="H27" s="1"/>
      <c r="I27" s="1"/>
    </row>
    <row r="28" customFormat="false" ht="19.35" hidden="false" customHeight="false" outlineLevel="0" collapsed="false">
      <c r="A28" s="1"/>
      <c r="B28" s="5" t="s">
        <v>7</v>
      </c>
      <c r="C28" s="6" t="n">
        <v>431</v>
      </c>
      <c r="D28" s="6" t="n">
        <v>-144</v>
      </c>
      <c r="E28" s="7" t="s">
        <v>8</v>
      </c>
      <c r="F28" s="1"/>
      <c r="G28" s="1"/>
      <c r="H28" s="1"/>
      <c r="I28" s="1"/>
    </row>
    <row r="29" customFormat="false" ht="19.3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9.35" hidden="false" customHeight="false" outlineLevel="0" collapsed="false">
      <c r="A30" s="1"/>
      <c r="B30" s="5" t="s">
        <v>22</v>
      </c>
      <c r="C30" s="1"/>
      <c r="D30" s="1"/>
      <c r="E30" s="1"/>
      <c r="F30" s="1"/>
      <c r="G30" s="1"/>
      <c r="H30" s="1"/>
      <c r="I30" s="1"/>
    </row>
    <row r="31" customFormat="false" ht="19.35" hidden="false" customHeight="false" outlineLevel="0" collapsed="false">
      <c r="A31" s="1"/>
      <c r="B31" s="5" t="s">
        <v>23</v>
      </c>
      <c r="C31" s="1"/>
      <c r="D31" s="1"/>
      <c r="E31" s="1"/>
      <c r="F31" s="1"/>
      <c r="G31" s="1"/>
      <c r="H31" s="1"/>
      <c r="I31" s="1"/>
    </row>
    <row r="32" customFormat="false" ht="19.3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D24" activeCellId="0" sqref="D24 D24"/>
    </sheetView>
  </sheetViews>
  <sheetFormatPr defaultColWidth="9.32421875" defaultRowHeight="17" zeroHeight="false" outlineLevelRow="0" outlineLevelCol="0"/>
  <cols>
    <col collapsed="false" customWidth="true" hidden="false" outlineLevel="0" max="1" min="1" style="14" width="4.82"/>
    <col collapsed="false" customWidth="true" hidden="false" outlineLevel="0" max="2" min="2" style="14" width="5.15"/>
    <col collapsed="false" customWidth="true" hidden="false" outlineLevel="0" max="3" min="3" style="14" width="5.32"/>
    <col collapsed="false" customWidth="true" hidden="false" outlineLevel="0" max="4" min="4" style="14" width="96.32"/>
    <col collapsed="false" customWidth="true" hidden="false" outlineLevel="0" max="5" min="5" style="14" width="2.82"/>
    <col collapsed="false" customWidth="true" hidden="false" outlineLevel="0" max="6" min="6" style="15" width="18.82"/>
    <col collapsed="false" customWidth="true" hidden="false" outlineLevel="0" max="7" min="7" style="15" width="2.82"/>
    <col collapsed="false" customWidth="true" hidden="false" outlineLevel="0" max="8" min="8" style="15" width="16.32"/>
    <col collapsed="false" customWidth="true" hidden="false" outlineLevel="0" max="9" min="9" style="15" width="2.82"/>
    <col collapsed="false" customWidth="true" hidden="false" outlineLevel="0" max="10" min="10" style="15" width="29.49"/>
    <col collapsed="false" customWidth="false" hidden="false" outlineLevel="0" max="257" min="11" style="14" width="9.32"/>
  </cols>
  <sheetData>
    <row r="1" s="16" customFormat="true" ht="18" hidden="false" customHeight="true" outlineLevel="0" collapsed="false">
      <c r="F1" s="17"/>
      <c r="G1" s="17"/>
      <c r="H1" s="17"/>
      <c r="I1" s="17"/>
      <c r="J1" s="17"/>
    </row>
    <row r="2" s="18" customFormat="true" ht="20.1" hidden="false" customHeight="true" outlineLevel="0" collapsed="false">
      <c r="B2" s="19" t="s">
        <v>24</v>
      </c>
      <c r="C2" s="19"/>
      <c r="D2" s="19"/>
      <c r="E2" s="19"/>
      <c r="F2" s="20"/>
      <c r="G2" s="20"/>
      <c r="H2" s="20"/>
      <c r="I2" s="20"/>
      <c r="J2" s="20"/>
    </row>
    <row r="3" s="16" customFormat="true" ht="18" hidden="false" customHeight="true" outlineLevel="0" collapsed="false">
      <c r="B3" s="21" t="s">
        <v>25</v>
      </c>
      <c r="C3" s="21"/>
      <c r="D3" s="21"/>
      <c r="E3" s="21"/>
      <c r="F3" s="22"/>
      <c r="G3" s="22"/>
      <c r="H3" s="22"/>
      <c r="I3" s="22"/>
      <c r="J3" s="22"/>
    </row>
    <row r="4" s="16" customFormat="true" ht="18" hidden="false" customHeight="true" outlineLevel="0" collapsed="false">
      <c r="B4" s="21"/>
      <c r="C4" s="21"/>
      <c r="D4" s="21"/>
      <c r="E4" s="21"/>
      <c r="F4" s="22"/>
      <c r="G4" s="22"/>
      <c r="H4" s="23"/>
      <c r="I4" s="22"/>
      <c r="J4" s="22"/>
    </row>
    <row r="5" s="16" customFormat="true" ht="18" hidden="false" customHeight="true" outlineLevel="0" collapsed="false">
      <c r="B5" s="21"/>
      <c r="C5" s="21"/>
      <c r="D5" s="21"/>
      <c r="E5" s="21"/>
      <c r="F5" s="22"/>
      <c r="G5" s="22"/>
      <c r="H5" s="24"/>
      <c r="I5" s="22"/>
      <c r="J5" s="22"/>
    </row>
    <row r="6" s="16" customFormat="true" ht="34.3" hidden="false" customHeight="false" outlineLevel="0" collapsed="false">
      <c r="E6" s="25"/>
      <c r="F6" s="26" t="s">
        <v>2</v>
      </c>
      <c r="G6" s="26"/>
      <c r="H6" s="26" t="s">
        <v>1</v>
      </c>
      <c r="I6" s="27"/>
      <c r="J6" s="28" t="s">
        <v>3</v>
      </c>
    </row>
    <row r="7" s="16" customFormat="true" ht="18" hidden="false" customHeight="true" outlineLevel="0" collapsed="false">
      <c r="B7" s="29" t="s">
        <v>26</v>
      </c>
      <c r="E7" s="30"/>
      <c r="F7" s="31"/>
      <c r="G7" s="27"/>
      <c r="H7" s="27"/>
      <c r="I7" s="27"/>
      <c r="J7" s="32"/>
    </row>
    <row r="8" s="16" customFormat="true" ht="18" hidden="false" customHeight="true" outlineLevel="0" collapsed="false">
      <c r="B8" s="29"/>
      <c r="C8" s="16" t="s">
        <v>27</v>
      </c>
      <c r="E8" s="30"/>
      <c r="F8" s="33" t="n">
        <v>12828</v>
      </c>
      <c r="G8" s="27"/>
      <c r="H8" s="33" t="n">
        <v>25708</v>
      </c>
      <c r="I8" s="27"/>
      <c r="J8" s="7" t="n">
        <v>1</v>
      </c>
    </row>
    <row r="9" s="16" customFormat="true" ht="18" hidden="false" customHeight="true" outlineLevel="0" collapsed="false">
      <c r="B9" s="29"/>
      <c r="C9" s="16" t="s">
        <v>28</v>
      </c>
      <c r="E9" s="30"/>
      <c r="F9" s="34" t="n">
        <v>2009</v>
      </c>
      <c r="G9" s="35"/>
      <c r="H9" s="34" t="n">
        <v>12438</v>
      </c>
      <c r="I9" s="36"/>
      <c r="J9" s="7" t="s">
        <v>8</v>
      </c>
    </row>
    <row r="10" s="16" customFormat="true" ht="18" hidden="false" customHeight="true" outlineLevel="0" collapsed="false">
      <c r="B10" s="29"/>
      <c r="D10" s="16" t="s">
        <v>29</v>
      </c>
      <c r="E10" s="30"/>
      <c r="F10" s="37" t="n">
        <v>10819</v>
      </c>
      <c r="G10" s="27"/>
      <c r="H10" s="37" t="n">
        <v>13270</v>
      </c>
      <c r="I10" s="27"/>
      <c r="J10" s="7" t="n">
        <v>0.23</v>
      </c>
    </row>
    <row r="11" s="16" customFormat="true" ht="18" hidden="false" customHeight="true" outlineLevel="0" collapsed="false">
      <c r="F11" s="38"/>
      <c r="G11" s="17"/>
      <c r="H11" s="38"/>
      <c r="I11" s="17"/>
      <c r="J11" s="7"/>
    </row>
    <row r="12" s="16" customFormat="true" ht="18" hidden="false" customHeight="true" outlineLevel="0" collapsed="false">
      <c r="B12" s="29"/>
      <c r="C12" s="39" t="s">
        <v>30</v>
      </c>
      <c r="E12" s="40"/>
      <c r="F12" s="41" t="n">
        <v>3229</v>
      </c>
      <c r="G12" s="35"/>
      <c r="H12" s="41" t="n">
        <v>2016</v>
      </c>
      <c r="I12" s="36"/>
      <c r="J12" s="7" t="n">
        <v>-0.38</v>
      </c>
    </row>
    <row r="13" s="16" customFormat="true" ht="18" hidden="false" customHeight="true" outlineLevel="0" collapsed="false">
      <c r="B13" s="29"/>
      <c r="C13" s="39" t="s">
        <v>31</v>
      </c>
      <c r="E13" s="40"/>
      <c r="F13" s="41" t="n">
        <v>1704</v>
      </c>
      <c r="G13" s="35"/>
      <c r="H13" s="41" t="n">
        <v>2419</v>
      </c>
      <c r="I13" s="36"/>
      <c r="J13" s="7" t="n">
        <v>0.42</v>
      </c>
    </row>
    <row r="14" s="16" customFormat="true" ht="18" hidden="false" customHeight="true" outlineLevel="0" collapsed="false">
      <c r="B14" s="29"/>
      <c r="C14" s="39" t="s">
        <v>32</v>
      </c>
      <c r="E14" s="40"/>
      <c r="F14" s="41" t="n">
        <v>953</v>
      </c>
      <c r="G14" s="35"/>
      <c r="H14" s="41" t="n">
        <v>880</v>
      </c>
      <c r="I14" s="36"/>
      <c r="J14" s="7" t="n">
        <v>-0.08</v>
      </c>
    </row>
    <row r="15" s="16" customFormat="true" ht="18" hidden="false" customHeight="true" outlineLevel="0" collapsed="false">
      <c r="B15" s="29"/>
      <c r="C15" s="39" t="s">
        <v>33</v>
      </c>
      <c r="E15" s="40"/>
      <c r="F15" s="41" t="n">
        <v>10</v>
      </c>
      <c r="G15" s="35"/>
      <c r="H15" s="41" t="n">
        <v>-7</v>
      </c>
      <c r="I15" s="36"/>
      <c r="J15" s="7" t="s">
        <v>8</v>
      </c>
    </row>
    <row r="16" s="16" customFormat="true" ht="18" hidden="false" customHeight="true" outlineLevel="0" collapsed="false">
      <c r="B16" s="29"/>
      <c r="C16" s="39" t="s">
        <v>34</v>
      </c>
      <c r="E16" s="40"/>
      <c r="F16" s="41" t="n">
        <v>-94</v>
      </c>
      <c r="G16" s="35"/>
      <c r="H16" s="41" t="n">
        <v>-222</v>
      </c>
      <c r="I16" s="36"/>
      <c r="J16" s="7" t="s">
        <v>8</v>
      </c>
    </row>
    <row r="17" s="16" customFormat="true" ht="18" hidden="false" customHeight="true" outlineLevel="0" collapsed="false">
      <c r="B17" s="29"/>
      <c r="C17" s="39" t="s">
        <v>35</v>
      </c>
      <c r="E17" s="40"/>
      <c r="F17" s="41" t="n">
        <v>-2</v>
      </c>
      <c r="G17" s="35"/>
      <c r="H17" s="41" t="n">
        <v>-2</v>
      </c>
      <c r="I17" s="36"/>
      <c r="J17" s="7" t="s">
        <v>36</v>
      </c>
    </row>
    <row r="18" s="16" customFormat="true" ht="18" hidden="false" customHeight="true" outlineLevel="0" collapsed="false">
      <c r="B18" s="29"/>
      <c r="C18" s="39" t="s">
        <v>37</v>
      </c>
      <c r="E18" s="40"/>
      <c r="F18" s="34" t="n">
        <v>398</v>
      </c>
      <c r="G18" s="35"/>
      <c r="H18" s="34" t="n">
        <v>-348</v>
      </c>
      <c r="I18" s="36"/>
      <c r="J18" s="7" t="s">
        <v>8</v>
      </c>
    </row>
    <row r="19" s="16" customFormat="true" ht="18" hidden="false" customHeight="true" outlineLevel="0" collapsed="false">
      <c r="B19" s="29"/>
      <c r="C19" s="39"/>
      <c r="D19" s="16" t="s">
        <v>38</v>
      </c>
      <c r="E19" s="40"/>
      <c r="F19" s="42" t="n">
        <v>6198</v>
      </c>
      <c r="G19" s="35"/>
      <c r="H19" s="42" t="n">
        <v>4736</v>
      </c>
      <c r="I19" s="36"/>
      <c r="J19" s="7" t="n">
        <v>-0.24</v>
      </c>
    </row>
    <row r="20" s="43" customFormat="true" ht="18" hidden="false" customHeight="true" outlineLevel="0" collapsed="false">
      <c r="B20" s="29"/>
      <c r="C20" s="29"/>
      <c r="D20" s="43" t="s">
        <v>9</v>
      </c>
      <c r="E20" s="44"/>
      <c r="F20" s="45" t="n">
        <v>17017</v>
      </c>
      <c r="G20" s="46"/>
      <c r="H20" s="45" t="n">
        <v>18006</v>
      </c>
      <c r="I20" s="47"/>
      <c r="J20" s="13" t="n">
        <v>0.06</v>
      </c>
    </row>
    <row r="21" s="43" customFormat="true" ht="18" hidden="false" customHeight="true" outlineLevel="0" collapsed="false">
      <c r="B21" s="29"/>
      <c r="C21" s="29"/>
      <c r="E21" s="44"/>
      <c r="F21" s="48"/>
      <c r="G21" s="46"/>
      <c r="H21" s="48"/>
      <c r="I21" s="47"/>
      <c r="J21" s="7"/>
    </row>
    <row r="22" s="43" customFormat="true" ht="18" hidden="false" customHeight="true" outlineLevel="0" collapsed="false">
      <c r="B22" s="29"/>
      <c r="C22" s="29"/>
      <c r="E22" s="44"/>
      <c r="F22" s="48"/>
      <c r="G22" s="46"/>
      <c r="H22" s="48"/>
      <c r="I22" s="47"/>
      <c r="J22" s="7"/>
    </row>
    <row r="23" s="16" customFormat="true" ht="18" hidden="false" customHeight="true" outlineLevel="0" collapsed="false">
      <c r="B23" s="29" t="s">
        <v>39</v>
      </c>
      <c r="C23" s="39"/>
      <c r="E23" s="40"/>
      <c r="F23" s="49"/>
      <c r="G23" s="35"/>
      <c r="H23" s="49"/>
      <c r="I23" s="36"/>
      <c r="J23" s="7"/>
    </row>
    <row r="24" s="16" customFormat="true" ht="18" hidden="false" customHeight="true" outlineLevel="0" collapsed="false">
      <c r="B24" s="29"/>
      <c r="C24" s="39" t="s">
        <v>11</v>
      </c>
      <c r="E24" s="40"/>
      <c r="F24" s="49" t="n">
        <v>866</v>
      </c>
      <c r="G24" s="49"/>
      <c r="H24" s="49" t="n">
        <v>1180</v>
      </c>
      <c r="I24" s="36"/>
      <c r="J24" s="7" t="n">
        <v>0.36</v>
      </c>
    </row>
    <row r="25" s="16" customFormat="true" ht="18" hidden="false" customHeight="true" outlineLevel="0" collapsed="false">
      <c r="B25" s="29"/>
      <c r="C25" s="39" t="s">
        <v>40</v>
      </c>
      <c r="E25" s="40"/>
      <c r="F25" s="50" t="n">
        <v>-1176</v>
      </c>
      <c r="G25" s="49"/>
      <c r="H25" s="50" t="n">
        <v>593</v>
      </c>
      <c r="I25" s="36"/>
      <c r="J25" s="7" t="s">
        <v>8</v>
      </c>
    </row>
    <row r="26" s="16" customFormat="true" ht="18" hidden="false" customHeight="true" outlineLevel="0" collapsed="false">
      <c r="B26" s="29"/>
      <c r="C26" s="39" t="s">
        <v>41</v>
      </c>
      <c r="E26" s="40"/>
      <c r="F26" s="41" t="n">
        <v>-310</v>
      </c>
      <c r="G26" s="35"/>
      <c r="H26" s="41" t="n">
        <v>1773</v>
      </c>
      <c r="I26" s="36"/>
      <c r="J26" s="7" t="s">
        <v>8</v>
      </c>
    </row>
    <row r="27" s="16" customFormat="true" ht="18" hidden="false" customHeight="true" outlineLevel="0" collapsed="false">
      <c r="B27" s="29"/>
      <c r="C27" s="39" t="s">
        <v>42</v>
      </c>
      <c r="E27" s="40"/>
      <c r="F27" s="41" t="n">
        <v>14</v>
      </c>
      <c r="G27" s="35"/>
      <c r="H27" s="41" t="n">
        <v>5</v>
      </c>
      <c r="I27" s="36"/>
      <c r="J27" s="7" t="n">
        <v>-0.64</v>
      </c>
    </row>
    <row r="28" s="16" customFormat="true" ht="18" hidden="false" customHeight="true" outlineLevel="0" collapsed="false">
      <c r="B28" s="29"/>
      <c r="C28" s="39" t="s">
        <v>43</v>
      </c>
      <c r="E28" s="40"/>
      <c r="F28" s="41" t="n">
        <v>-3</v>
      </c>
      <c r="G28" s="35"/>
      <c r="H28" s="41" t="n">
        <v>0</v>
      </c>
      <c r="I28" s="36"/>
      <c r="J28" s="7" t="n">
        <v>1</v>
      </c>
    </row>
    <row r="29" s="16" customFormat="true" ht="18" hidden="false" customHeight="true" outlineLevel="0" collapsed="false">
      <c r="B29" s="29"/>
      <c r="C29" s="39" t="s">
        <v>44</v>
      </c>
      <c r="E29" s="40"/>
      <c r="F29" s="41" t="n">
        <v>27</v>
      </c>
      <c r="G29" s="35"/>
      <c r="H29" s="41" t="n">
        <v>20</v>
      </c>
      <c r="I29" s="36"/>
      <c r="J29" s="7" t="n">
        <v>-0.26</v>
      </c>
    </row>
    <row r="30" s="16" customFormat="true" ht="18" hidden="false" customHeight="true" outlineLevel="0" collapsed="false">
      <c r="B30" s="29"/>
      <c r="C30" s="39" t="s">
        <v>45</v>
      </c>
      <c r="E30" s="40"/>
      <c r="F30" s="41" t="n">
        <v>-193</v>
      </c>
      <c r="G30" s="35"/>
      <c r="H30" s="41" t="n">
        <v>47</v>
      </c>
      <c r="I30" s="36"/>
      <c r="J30" s="7" t="s">
        <v>8</v>
      </c>
    </row>
    <row r="31" s="16" customFormat="true" ht="18" hidden="false" customHeight="true" outlineLevel="0" collapsed="false">
      <c r="B31" s="29"/>
      <c r="C31" s="29"/>
      <c r="D31" s="43" t="s">
        <v>46</v>
      </c>
      <c r="E31" s="44"/>
      <c r="F31" s="45" t="n">
        <v>-465</v>
      </c>
      <c r="G31" s="46"/>
      <c r="H31" s="45" t="n">
        <v>1845</v>
      </c>
      <c r="I31" s="47"/>
      <c r="J31" s="13" t="s">
        <v>8</v>
      </c>
    </row>
    <row r="32" s="16" customFormat="true" ht="18" hidden="false" customHeight="true" outlineLevel="0" collapsed="false">
      <c r="B32" s="29"/>
      <c r="C32" s="39"/>
      <c r="E32" s="40"/>
      <c r="F32" s="49"/>
      <c r="G32" s="49"/>
      <c r="H32" s="49"/>
      <c r="I32" s="49"/>
      <c r="J32" s="51"/>
    </row>
    <row r="33" s="16" customFormat="true" ht="18" hidden="false" customHeight="true" outlineLevel="0" collapsed="false">
      <c r="B33" s="29" t="s">
        <v>47</v>
      </c>
      <c r="C33" s="39"/>
      <c r="E33" s="40"/>
      <c r="F33" s="52"/>
      <c r="G33" s="35"/>
      <c r="H33" s="52"/>
      <c r="I33" s="36"/>
      <c r="J33" s="7"/>
    </row>
    <row r="34" s="16" customFormat="true" ht="19.35" hidden="false" customHeight="false" outlineLevel="0" collapsed="false">
      <c r="B34" s="29"/>
      <c r="C34" s="39" t="s">
        <v>48</v>
      </c>
      <c r="E34" s="40"/>
      <c r="F34" s="41" t="n">
        <v>7093</v>
      </c>
      <c r="G34" s="35"/>
      <c r="H34" s="41" t="n">
        <v>6618</v>
      </c>
      <c r="I34" s="36"/>
      <c r="J34" s="7" t="n">
        <v>-0.07</v>
      </c>
    </row>
    <row r="35" s="16" customFormat="true" ht="18" hidden="false" customHeight="true" outlineLevel="0" collapsed="false">
      <c r="B35" s="29"/>
      <c r="C35" s="39" t="s">
        <v>49</v>
      </c>
      <c r="E35" s="40"/>
      <c r="F35" s="41" t="n">
        <v>620</v>
      </c>
      <c r="G35" s="35"/>
      <c r="H35" s="41" t="n">
        <v>601</v>
      </c>
      <c r="I35" s="36"/>
      <c r="J35" s="7" t="n">
        <v>-0.03</v>
      </c>
    </row>
    <row r="36" s="16" customFormat="true" ht="18" hidden="false" customHeight="true" outlineLevel="0" collapsed="false">
      <c r="B36" s="29"/>
      <c r="C36" s="39" t="s">
        <v>50</v>
      </c>
      <c r="E36" s="40"/>
      <c r="F36" s="41" t="n">
        <v>2084</v>
      </c>
      <c r="G36" s="35"/>
      <c r="H36" s="41" t="n">
        <v>2358</v>
      </c>
      <c r="I36" s="36"/>
      <c r="J36" s="7" t="n">
        <v>0.13</v>
      </c>
    </row>
    <row r="37" s="16" customFormat="true" ht="18" hidden="false" customHeight="true" outlineLevel="0" collapsed="false">
      <c r="B37" s="29"/>
      <c r="C37" s="39" t="s">
        <v>51</v>
      </c>
      <c r="D37" s="39"/>
      <c r="E37" s="40"/>
      <c r="F37" s="41" t="n">
        <v>478</v>
      </c>
      <c r="G37" s="35"/>
      <c r="H37" s="41" t="n">
        <v>424</v>
      </c>
      <c r="I37" s="36"/>
      <c r="J37" s="7" t="n">
        <v>-0.11</v>
      </c>
    </row>
    <row r="38" s="16" customFormat="true" ht="18" hidden="false" customHeight="true" outlineLevel="0" collapsed="false">
      <c r="B38" s="29"/>
      <c r="C38" s="39" t="s">
        <v>52</v>
      </c>
      <c r="E38" s="40"/>
      <c r="F38" s="41" t="n">
        <v>3257</v>
      </c>
      <c r="G38" s="35"/>
      <c r="H38" s="41" t="n">
        <v>2984</v>
      </c>
      <c r="I38" s="36"/>
      <c r="J38" s="7" t="n">
        <v>-0.08</v>
      </c>
    </row>
    <row r="39" s="16" customFormat="true" ht="18" hidden="false" customHeight="true" outlineLevel="0" collapsed="false">
      <c r="B39" s="29"/>
      <c r="C39" s="29"/>
      <c r="D39" s="43" t="s">
        <v>10</v>
      </c>
      <c r="E39" s="44"/>
      <c r="F39" s="45" t="n">
        <v>13532</v>
      </c>
      <c r="G39" s="46"/>
      <c r="H39" s="45" t="n">
        <v>12985</v>
      </c>
      <c r="I39" s="47"/>
      <c r="J39" s="13" t="n">
        <v>-0.04</v>
      </c>
    </row>
    <row r="40" s="16" customFormat="true" ht="18" hidden="false" customHeight="true" outlineLevel="0" collapsed="false">
      <c r="B40" s="29"/>
      <c r="C40" s="39"/>
      <c r="E40" s="40"/>
      <c r="F40" s="42"/>
      <c r="G40" s="35"/>
      <c r="H40" s="42"/>
      <c r="I40" s="36"/>
      <c r="J40" s="7"/>
    </row>
    <row r="41" s="16" customFormat="true" ht="9" hidden="false" customHeight="true" outlineLevel="0" collapsed="false">
      <c r="B41" s="29"/>
      <c r="C41" s="39"/>
      <c r="E41" s="40"/>
      <c r="F41" s="52"/>
      <c r="G41" s="35"/>
      <c r="H41" s="52"/>
      <c r="I41" s="36"/>
      <c r="J41" s="7"/>
    </row>
    <row r="42" s="16" customFormat="true" ht="18" hidden="false" customHeight="true" outlineLevel="0" collapsed="false">
      <c r="B42" s="29" t="s">
        <v>15</v>
      </c>
      <c r="C42" s="29"/>
      <c r="E42" s="40"/>
      <c r="F42" s="42" t="n">
        <v>3950</v>
      </c>
      <c r="G42" s="35"/>
      <c r="H42" s="42" t="n">
        <v>3176</v>
      </c>
      <c r="I42" s="36"/>
      <c r="J42" s="7" t="n">
        <v>-0.2</v>
      </c>
    </row>
    <row r="43" s="16" customFormat="true" ht="18" hidden="false" customHeight="true" outlineLevel="0" collapsed="false">
      <c r="B43" s="39" t="s">
        <v>53</v>
      </c>
      <c r="C43" s="39"/>
      <c r="E43" s="40"/>
      <c r="F43" s="34" t="n">
        <v>771</v>
      </c>
      <c r="G43" s="35"/>
      <c r="H43" s="34" t="n">
        <v>640</v>
      </c>
      <c r="I43" s="36"/>
      <c r="J43" s="7" t="n">
        <v>-0.17</v>
      </c>
    </row>
    <row r="44" s="16" customFormat="true" ht="18" hidden="false" customHeight="true" outlineLevel="0" collapsed="false">
      <c r="B44" s="29"/>
      <c r="C44" s="39"/>
      <c r="E44" s="40"/>
      <c r="F44" s="42"/>
      <c r="G44" s="35"/>
      <c r="H44" s="42"/>
      <c r="I44" s="36"/>
      <c r="J44" s="7"/>
    </row>
    <row r="45" s="43" customFormat="true" ht="18" hidden="false" customHeight="true" outlineLevel="0" collapsed="false">
      <c r="B45" s="29" t="s">
        <v>54</v>
      </c>
      <c r="C45" s="29"/>
      <c r="E45" s="44"/>
      <c r="F45" s="53" t="n">
        <v>3179</v>
      </c>
      <c r="G45" s="46"/>
      <c r="H45" s="53" t="n">
        <v>2536</v>
      </c>
      <c r="I45" s="47"/>
      <c r="J45" s="13" t="n">
        <v>-0.2</v>
      </c>
    </row>
    <row r="46" s="16" customFormat="true" ht="21.75" hidden="false" customHeight="true" outlineLevel="0" collapsed="false">
      <c r="B46" s="29" t="s">
        <v>55</v>
      </c>
      <c r="C46" s="29"/>
      <c r="E46" s="40"/>
      <c r="F46" s="42"/>
      <c r="G46" s="35"/>
      <c r="H46" s="42"/>
      <c r="I46" s="36"/>
      <c r="J46" s="7"/>
    </row>
    <row r="47" s="16" customFormat="true" ht="18" hidden="false" customHeight="true" outlineLevel="0" collapsed="false">
      <c r="C47" s="39" t="s">
        <v>56</v>
      </c>
      <c r="E47" s="40"/>
      <c r="F47" s="42" t="n">
        <v>0</v>
      </c>
      <c r="G47" s="35"/>
      <c r="H47" s="42" t="n">
        <v>-2</v>
      </c>
      <c r="I47" s="36"/>
      <c r="J47" s="7" t="s">
        <v>8</v>
      </c>
    </row>
    <row r="48" s="16" customFormat="true" ht="18" hidden="false" customHeight="true" outlineLevel="0" collapsed="false">
      <c r="C48" s="39" t="s">
        <v>57</v>
      </c>
      <c r="E48" s="40"/>
      <c r="F48" s="54" t="n">
        <v>0</v>
      </c>
      <c r="G48" s="35"/>
      <c r="H48" s="54" t="n">
        <v>0</v>
      </c>
      <c r="I48" s="36"/>
      <c r="J48" s="7" t="s">
        <v>36</v>
      </c>
    </row>
    <row r="49" s="16" customFormat="true" ht="18" hidden="false" customHeight="true" outlineLevel="0" collapsed="false">
      <c r="B49" s="43" t="s">
        <v>58</v>
      </c>
      <c r="C49" s="29"/>
      <c r="E49" s="40"/>
      <c r="F49" s="42" t="n">
        <v>0</v>
      </c>
      <c r="G49" s="35"/>
      <c r="H49" s="42" t="n">
        <v>-2</v>
      </c>
      <c r="I49" s="36"/>
      <c r="J49" s="7" t="s">
        <v>8</v>
      </c>
    </row>
    <row r="50" s="16" customFormat="true" ht="18" hidden="false" customHeight="true" outlineLevel="0" collapsed="false">
      <c r="B50" s="29"/>
      <c r="C50" s="39"/>
      <c r="E50" s="40"/>
      <c r="F50" s="55"/>
      <c r="G50" s="35"/>
      <c r="H50" s="55"/>
      <c r="I50" s="36"/>
      <c r="J50" s="7"/>
    </row>
    <row r="51" s="16" customFormat="true" ht="18" hidden="false" customHeight="true" outlineLevel="0" collapsed="false">
      <c r="B51" s="39" t="s">
        <v>59</v>
      </c>
      <c r="C51" s="39"/>
      <c r="E51" s="40"/>
      <c r="F51" s="49" t="n">
        <v>3179</v>
      </c>
      <c r="G51" s="35"/>
      <c r="H51" s="49" t="n">
        <v>2534</v>
      </c>
      <c r="I51" s="36"/>
      <c r="J51" s="7" t="n">
        <v>-0.2</v>
      </c>
    </row>
    <row r="52" s="16" customFormat="true" ht="18" hidden="false" customHeight="true" outlineLevel="0" collapsed="false">
      <c r="B52" s="39" t="s">
        <v>60</v>
      </c>
      <c r="C52" s="39"/>
      <c r="E52" s="40"/>
      <c r="F52" s="34" t="n">
        <v>6</v>
      </c>
      <c r="G52" s="35"/>
      <c r="H52" s="34" t="n">
        <v>21</v>
      </c>
      <c r="I52" s="36"/>
      <c r="J52" s="7" t="s">
        <v>8</v>
      </c>
    </row>
    <row r="53" s="16" customFormat="true" ht="30.75" hidden="false" customHeight="true" outlineLevel="0" collapsed="false">
      <c r="B53" s="29" t="s">
        <v>20</v>
      </c>
      <c r="C53" s="39"/>
      <c r="E53" s="40"/>
      <c r="F53" s="56" t="n">
        <v>3173</v>
      </c>
      <c r="G53" s="46"/>
      <c r="H53" s="56" t="n">
        <v>2513</v>
      </c>
      <c r="I53" s="47"/>
      <c r="J53" s="13" t="n">
        <v>-0.21</v>
      </c>
    </row>
    <row r="54" s="16" customFormat="true" ht="18" hidden="false" customHeight="true" outlineLevel="0" collapsed="false">
      <c r="B54" s="29"/>
      <c r="C54" s="39"/>
      <c r="E54" s="40"/>
      <c r="F54" s="57"/>
      <c r="G54" s="46"/>
      <c r="H54" s="57"/>
      <c r="I54" s="47"/>
      <c r="J54" s="7"/>
    </row>
    <row r="55" s="16" customFormat="true" ht="18" hidden="false" customHeight="true" outlineLevel="0" collapsed="false">
      <c r="B55" s="58"/>
      <c r="C55" s="59"/>
      <c r="D55" s="60"/>
      <c r="E55" s="60"/>
      <c r="F55" s="61"/>
      <c r="G55" s="61"/>
      <c r="H55" s="61"/>
      <c r="I55" s="61"/>
      <c r="J55" s="62"/>
    </row>
    <row r="56" s="16" customFormat="true" ht="18" hidden="false" customHeight="true" outlineLevel="0" collapsed="false">
      <c r="B56" s="29"/>
      <c r="C56" s="39"/>
      <c r="D56" s="63"/>
      <c r="E56" s="40"/>
      <c r="F56" s="52"/>
      <c r="G56" s="35"/>
      <c r="H56" s="49"/>
      <c r="I56" s="36"/>
      <c r="J56" s="7"/>
    </row>
    <row r="57" s="16" customFormat="true" ht="18" hidden="false" customHeight="true" outlineLevel="0" collapsed="false">
      <c r="B57" s="39" t="s">
        <v>61</v>
      </c>
      <c r="C57" s="64" t="s">
        <v>62</v>
      </c>
      <c r="D57" s="63"/>
      <c r="E57" s="40"/>
      <c r="F57" s="52"/>
      <c r="G57" s="35"/>
      <c r="H57" s="52"/>
      <c r="I57" s="36"/>
      <c r="J57" s="7"/>
    </row>
    <row r="58" s="16" customFormat="true" ht="18" hidden="false" customHeight="true" outlineLevel="0" collapsed="false">
      <c r="B58" s="39" t="s">
        <v>63</v>
      </c>
      <c r="C58" s="65" t="s">
        <v>64</v>
      </c>
      <c r="D58" s="63"/>
      <c r="E58" s="40"/>
      <c r="F58" s="52"/>
      <c r="G58" s="35"/>
      <c r="H58" s="52"/>
      <c r="I58" s="36"/>
      <c r="J58" s="7"/>
    </row>
    <row r="59" s="16" customFormat="true" ht="18" hidden="false" customHeight="true" outlineLevel="0" collapsed="false">
      <c r="B59" s="39" t="s">
        <v>65</v>
      </c>
      <c r="C59" s="65" t="s">
        <v>66</v>
      </c>
      <c r="D59" s="63"/>
      <c r="E59" s="40"/>
      <c r="F59" s="52"/>
      <c r="G59" s="35"/>
      <c r="H59" s="52"/>
      <c r="I59" s="36"/>
      <c r="J59" s="7"/>
    </row>
    <row r="60" s="16" customFormat="true" ht="18" hidden="false" customHeight="true" outlineLevel="0" collapsed="false">
      <c r="B60" s="39" t="s">
        <v>67</v>
      </c>
      <c r="C60" s="64" t="s">
        <v>68</v>
      </c>
      <c r="D60" s="63"/>
      <c r="E60" s="40"/>
      <c r="F60" s="17"/>
      <c r="G60" s="35"/>
      <c r="H60" s="17"/>
      <c r="I60" s="17"/>
      <c r="J60" s="17"/>
    </row>
    <row r="61" s="16" customFormat="true" ht="18" hidden="false" customHeight="true" outlineLevel="0" collapsed="false">
      <c r="B61" s="39" t="s">
        <v>69</v>
      </c>
      <c r="C61" s="64" t="s">
        <v>70</v>
      </c>
      <c r="D61" s="63"/>
      <c r="E61" s="40"/>
      <c r="F61" s="17"/>
      <c r="G61" s="35"/>
      <c r="H61" s="17"/>
      <c r="I61" s="17"/>
      <c r="J61" s="17"/>
    </row>
    <row r="62" s="16" customFormat="true" ht="18" hidden="false" customHeight="true" outlineLevel="0" collapsed="false">
      <c r="B62" s="39"/>
      <c r="C62" s="64"/>
      <c r="D62" s="63"/>
      <c r="E62" s="40"/>
      <c r="F62" s="17"/>
      <c r="G62" s="35"/>
      <c r="H62" s="17"/>
      <c r="I62" s="17"/>
      <c r="J62" s="17"/>
    </row>
    <row r="63" s="16" customFormat="true" ht="22.5" hidden="false" customHeight="true" outlineLevel="0" collapsed="false">
      <c r="B63" s="16" t="s">
        <v>71</v>
      </c>
      <c r="F63" s="17"/>
      <c r="G63" s="17"/>
      <c r="H63" s="17"/>
      <c r="I63" s="17"/>
      <c r="J63" s="17"/>
    </row>
    <row r="64" s="16" customFormat="true" ht="18" hidden="false" customHeight="true" outlineLevel="0" collapsed="false">
      <c r="B64" s="16" t="s">
        <v>72</v>
      </c>
      <c r="F64" s="17"/>
      <c r="G64" s="17"/>
      <c r="H64" s="17"/>
      <c r="I64" s="17"/>
      <c r="J64" s="17"/>
    </row>
    <row r="65" s="16" customFormat="true" ht="19.35" hidden="false" customHeight="false" outlineLevel="0" collapsed="false">
      <c r="F65" s="17"/>
      <c r="G65" s="17"/>
      <c r="H65" s="17"/>
      <c r="I65" s="17"/>
      <c r="J65" s="17"/>
    </row>
    <row r="66" s="16" customFormat="true" ht="19.35" hidden="false" customHeight="false" outlineLevel="0" collapsed="false">
      <c r="F66" s="17"/>
      <c r="G66" s="17"/>
      <c r="H66" s="17"/>
      <c r="I66" s="17"/>
      <c r="J66" s="17"/>
    </row>
    <row r="67" s="16" customFormat="true" ht="19.35" hidden="false" customHeight="false" outlineLevel="0" collapsed="false">
      <c r="D67" s="17"/>
      <c r="F67" s="17"/>
      <c r="G67" s="17"/>
      <c r="H67" s="17"/>
      <c r="I67" s="17"/>
      <c r="J67" s="17"/>
    </row>
    <row r="68" s="16" customFormat="true" ht="19.35" hidden="false" customHeight="false" outlineLevel="0" collapsed="false">
      <c r="D68" s="17"/>
      <c r="F68" s="17"/>
      <c r="G68" s="17"/>
      <c r="H68" s="17"/>
      <c r="I68" s="17"/>
      <c r="J68" s="17"/>
    </row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7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F6" activeCellId="0" sqref="F6 F6"/>
    </sheetView>
  </sheetViews>
  <sheetFormatPr defaultColWidth="9.32421875" defaultRowHeight="17" zeroHeight="false" outlineLevelRow="0" outlineLevelCol="0"/>
  <cols>
    <col collapsed="false" customWidth="true" hidden="false" outlineLevel="0" max="3" min="1" style="14" width="4.82"/>
    <col collapsed="false" customWidth="true" hidden="false" outlineLevel="0" max="4" min="4" style="14" width="102.82"/>
    <col collapsed="false" customWidth="true" hidden="false" outlineLevel="0" max="5" min="5" style="14" width="2.82"/>
    <col collapsed="false" customWidth="true" hidden="false" outlineLevel="0" max="6" min="6" style="14" width="22.82"/>
    <col collapsed="false" customWidth="true" hidden="false" outlineLevel="0" max="7" min="7" style="18" width="2.82"/>
    <col collapsed="false" customWidth="true" hidden="false" outlineLevel="0" max="8" min="8" style="18" width="20.65"/>
    <col collapsed="false" customWidth="true" hidden="false" outlineLevel="0" max="9" min="9" style="18" width="2.82"/>
    <col collapsed="false" customWidth="true" hidden="false" outlineLevel="0" max="10" min="10" style="14" width="22.82"/>
    <col collapsed="false" customWidth="true" hidden="false" outlineLevel="0" max="11" min="11" style="14" width="0.82"/>
    <col collapsed="false" customWidth="false" hidden="false" outlineLevel="0" max="257" min="12" style="14" width="9.32"/>
  </cols>
  <sheetData>
    <row r="1" customFormat="false" ht="18" hidden="false" customHeight="true" outlineLevel="0" collapsed="false"/>
    <row r="2" customFormat="false" ht="20.1" hidden="false" customHeight="true" outlineLevel="0" collapsed="false">
      <c r="B2" s="19" t="s">
        <v>73</v>
      </c>
      <c r="C2" s="66"/>
      <c r="D2" s="66"/>
      <c r="E2" s="66"/>
      <c r="F2" s="67"/>
      <c r="G2" s="67"/>
      <c r="H2" s="67"/>
      <c r="I2" s="67"/>
      <c r="J2" s="67"/>
      <c r="K2" s="67"/>
    </row>
    <row r="3" customFormat="false" ht="18" hidden="false" customHeight="true" outlineLevel="0" collapsed="false">
      <c r="B3" s="68" t="s">
        <v>25</v>
      </c>
      <c r="C3" s="66"/>
      <c r="D3" s="66"/>
      <c r="E3" s="66"/>
      <c r="F3" s="67"/>
      <c r="G3" s="67"/>
      <c r="H3" s="69"/>
      <c r="I3" s="70"/>
      <c r="J3" s="70"/>
      <c r="K3" s="70"/>
    </row>
    <row r="4" customFormat="false" ht="18" hidden="false" customHeight="true" outlineLevel="0" collapsed="false">
      <c r="B4" s="67"/>
      <c r="C4" s="67"/>
      <c r="H4" s="69"/>
      <c r="I4" s="71"/>
      <c r="J4" s="72"/>
      <c r="K4" s="73"/>
    </row>
    <row r="5" customFormat="false" ht="18" hidden="false" customHeight="true" outlineLevel="0" collapsed="false">
      <c r="B5" s="67"/>
      <c r="C5" s="67"/>
      <c r="H5" s="69"/>
      <c r="I5" s="71"/>
      <c r="J5" s="72"/>
      <c r="K5" s="73"/>
    </row>
    <row r="6" s="71" customFormat="true" ht="49.95" hidden="false" customHeight="false" outlineLevel="0" collapsed="false">
      <c r="E6" s="25"/>
      <c r="F6" s="26" t="s">
        <v>2</v>
      </c>
      <c r="G6" s="26"/>
      <c r="H6" s="26" t="s">
        <v>1</v>
      </c>
      <c r="I6" s="30"/>
      <c r="J6" s="28" t="s">
        <v>3</v>
      </c>
      <c r="K6" s="74"/>
    </row>
    <row r="7" s="71" customFormat="true" ht="18" hidden="false" customHeight="true" outlineLevel="0" collapsed="false">
      <c r="B7" s="75" t="s">
        <v>74</v>
      </c>
      <c r="C7" s="73"/>
      <c r="D7" s="73"/>
      <c r="E7" s="40"/>
      <c r="F7" s="76"/>
      <c r="G7" s="77"/>
      <c r="H7" s="76"/>
      <c r="I7" s="40"/>
      <c r="J7" s="78"/>
      <c r="K7" s="73"/>
    </row>
    <row r="8" s="71" customFormat="true" ht="18" hidden="false" customHeight="true" outlineLevel="0" collapsed="false">
      <c r="B8" s="79" t="s">
        <v>75</v>
      </c>
      <c r="C8" s="80"/>
      <c r="D8" s="81"/>
      <c r="E8" s="40"/>
      <c r="F8" s="82" t="n">
        <v>27515</v>
      </c>
      <c r="G8" s="77"/>
      <c r="H8" s="82" t="n">
        <v>30577</v>
      </c>
      <c r="I8" s="40"/>
      <c r="J8" s="78" t="n">
        <v>0.11</v>
      </c>
      <c r="K8" s="73"/>
    </row>
    <row r="9" s="71" customFormat="true" ht="18" hidden="false" customHeight="true" outlineLevel="0" collapsed="false">
      <c r="B9" s="79" t="s">
        <v>76</v>
      </c>
      <c r="C9" s="83"/>
      <c r="D9" s="73"/>
      <c r="E9" s="40"/>
      <c r="F9" s="84" t="n">
        <v>234518</v>
      </c>
      <c r="G9" s="77"/>
      <c r="H9" s="84" t="n">
        <v>311448</v>
      </c>
      <c r="I9" s="40"/>
      <c r="J9" s="78" t="n">
        <v>0.33</v>
      </c>
      <c r="K9" s="73"/>
    </row>
    <row r="10" s="71" customFormat="true" ht="18" hidden="false" customHeight="true" outlineLevel="0" collapsed="false">
      <c r="B10" s="85" t="s">
        <v>77</v>
      </c>
      <c r="C10" s="83"/>
      <c r="D10" s="73"/>
      <c r="E10" s="40"/>
      <c r="F10" s="84" t="n">
        <v>327288</v>
      </c>
      <c r="G10" s="77"/>
      <c r="H10" s="84" t="n">
        <v>365401</v>
      </c>
      <c r="I10" s="40"/>
      <c r="J10" s="78" t="n">
        <v>0.12</v>
      </c>
      <c r="K10" s="73"/>
    </row>
    <row r="11" s="71" customFormat="true" ht="18" hidden="false" customHeight="true" outlineLevel="0" collapsed="false">
      <c r="B11" s="86" t="s">
        <v>78</v>
      </c>
      <c r="C11" s="80"/>
      <c r="D11" s="73"/>
      <c r="E11" s="40"/>
      <c r="F11" s="84" t="n">
        <v>54340</v>
      </c>
      <c r="G11" s="77"/>
      <c r="H11" s="84" t="n">
        <v>54192</v>
      </c>
      <c r="I11" s="40"/>
      <c r="J11" s="78" t="s">
        <v>36</v>
      </c>
      <c r="K11" s="73"/>
    </row>
    <row r="12" s="71" customFormat="true" ht="18" hidden="false" customHeight="true" outlineLevel="0" collapsed="false">
      <c r="B12" s="79" t="s">
        <v>79</v>
      </c>
      <c r="C12" s="80"/>
      <c r="D12" s="81"/>
      <c r="E12" s="40"/>
      <c r="F12" s="84" t="n">
        <v>331945</v>
      </c>
      <c r="G12" s="77"/>
      <c r="H12" s="84" t="n">
        <v>334114</v>
      </c>
      <c r="I12" s="40"/>
      <c r="J12" s="78" t="n">
        <v>0.01</v>
      </c>
      <c r="K12" s="73"/>
    </row>
    <row r="13" s="71" customFormat="true" ht="18" hidden="false" customHeight="true" outlineLevel="0" collapsed="false">
      <c r="B13" s="79" t="s">
        <v>80</v>
      </c>
      <c r="C13" s="80"/>
      <c r="D13" s="81"/>
      <c r="E13" s="40"/>
      <c r="F13" s="84"/>
      <c r="G13" s="77"/>
      <c r="H13" s="84"/>
      <c r="I13" s="40"/>
      <c r="J13" s="78"/>
      <c r="K13" s="73"/>
    </row>
    <row r="14" s="71" customFormat="true" ht="18" hidden="false" customHeight="true" outlineLevel="0" collapsed="false">
      <c r="B14" s="79"/>
      <c r="C14" s="30" t="s">
        <v>81</v>
      </c>
      <c r="D14" s="73"/>
      <c r="E14" s="40"/>
      <c r="F14" s="84" t="n">
        <v>288522</v>
      </c>
      <c r="G14" s="77"/>
      <c r="H14" s="84" t="n">
        <v>249679</v>
      </c>
      <c r="I14" s="40"/>
      <c r="J14" s="78" t="n">
        <v>-0.13</v>
      </c>
      <c r="K14" s="73"/>
    </row>
    <row r="15" s="71" customFormat="true" ht="18" hidden="false" customHeight="true" outlineLevel="0" collapsed="false">
      <c r="B15" s="79"/>
      <c r="C15" s="30" t="s">
        <v>82</v>
      </c>
      <c r="D15" s="73"/>
      <c r="E15" s="40"/>
      <c r="F15" s="84" t="n">
        <v>216963</v>
      </c>
      <c r="G15" s="77"/>
      <c r="H15" s="84" t="n">
        <v>268863</v>
      </c>
      <c r="I15" s="40"/>
      <c r="J15" s="78" t="n">
        <v>0.24</v>
      </c>
      <c r="K15" s="73"/>
    </row>
    <row r="16" s="71" customFormat="true" ht="18" hidden="false" customHeight="true" outlineLevel="0" collapsed="false">
      <c r="B16" s="79"/>
      <c r="C16" s="30" t="s">
        <v>83</v>
      </c>
      <c r="D16" s="73"/>
      <c r="E16" s="40"/>
      <c r="F16" s="87" t="n">
        <v>7337</v>
      </c>
      <c r="G16" s="77"/>
      <c r="H16" s="87" t="n">
        <v>8040</v>
      </c>
      <c r="I16" s="40"/>
      <c r="J16" s="78" t="n">
        <v>0.1</v>
      </c>
      <c r="K16" s="73"/>
    </row>
    <row r="17" s="71" customFormat="true" ht="18" hidden="false" customHeight="true" outlineLevel="0" collapsed="false">
      <c r="B17" s="79" t="s">
        <v>84</v>
      </c>
      <c r="C17" s="83"/>
      <c r="D17" s="73"/>
      <c r="E17" s="40"/>
      <c r="F17" s="84" t="n">
        <v>512822</v>
      </c>
      <c r="G17" s="77"/>
      <c r="H17" s="84" t="n">
        <v>526582</v>
      </c>
      <c r="I17" s="40"/>
      <c r="J17" s="78" t="n">
        <v>0.03</v>
      </c>
      <c r="K17" s="73"/>
    </row>
    <row r="18" s="71" customFormat="true" ht="18" hidden="false" customHeight="true" outlineLevel="0" collapsed="false">
      <c r="B18" s="79" t="s">
        <v>85</v>
      </c>
      <c r="C18" s="83"/>
      <c r="D18" s="73"/>
      <c r="E18" s="40"/>
      <c r="F18" s="84"/>
      <c r="G18" s="77"/>
      <c r="H18" s="84"/>
      <c r="I18" s="40"/>
      <c r="J18" s="78"/>
      <c r="K18" s="73"/>
    </row>
    <row r="19" s="71" customFormat="true" ht="18" hidden="false" customHeight="true" outlineLevel="0" collapsed="false">
      <c r="B19" s="86" t="s">
        <v>86</v>
      </c>
      <c r="C19" s="80"/>
      <c r="D19" s="73"/>
      <c r="E19" s="40"/>
      <c r="F19" s="84" t="n">
        <v>376534</v>
      </c>
      <c r="G19" s="77"/>
      <c r="H19" s="84" t="n">
        <v>368067</v>
      </c>
      <c r="I19" s="40"/>
      <c r="J19" s="78" t="n">
        <v>-0.02</v>
      </c>
      <c r="K19" s="40"/>
    </row>
    <row r="20" s="71" customFormat="true" ht="18" hidden="false" customHeight="true" outlineLevel="0" collapsed="false">
      <c r="B20" s="86" t="s">
        <v>87</v>
      </c>
      <c r="C20" s="80"/>
      <c r="D20" s="80"/>
      <c r="E20" s="40"/>
      <c r="F20" s="87" t="n">
        <v>291233</v>
      </c>
      <c r="G20" s="77"/>
      <c r="H20" s="87" t="n">
        <v>289154</v>
      </c>
      <c r="I20" s="40"/>
      <c r="J20" s="78" t="n">
        <v>-0.01</v>
      </c>
      <c r="K20" s="40"/>
    </row>
    <row r="21" s="71" customFormat="true" ht="18" hidden="false" customHeight="true" outlineLevel="0" collapsed="false">
      <c r="B21" s="79" t="s">
        <v>85</v>
      </c>
      <c r="C21" s="83"/>
      <c r="D21" s="30"/>
      <c r="E21" s="40"/>
      <c r="F21" s="84" t="n">
        <v>667767</v>
      </c>
      <c r="G21" s="77"/>
      <c r="H21" s="84" t="n">
        <v>657221</v>
      </c>
      <c r="I21" s="40"/>
      <c r="J21" s="78" t="n">
        <v>-0.02</v>
      </c>
      <c r="K21" s="40"/>
    </row>
    <row r="22" s="71" customFormat="true" ht="18" hidden="false" customHeight="true" outlineLevel="0" collapsed="false">
      <c r="B22" s="79" t="s">
        <v>88</v>
      </c>
      <c r="C22" s="83"/>
      <c r="D22" s="73"/>
      <c r="E22" s="40"/>
      <c r="F22" s="87" t="n">
        <v>-16455</v>
      </c>
      <c r="G22" s="77"/>
      <c r="H22" s="87" t="n">
        <v>-16974</v>
      </c>
      <c r="I22" s="40"/>
      <c r="J22" s="78" t="n">
        <v>-0.03</v>
      </c>
      <c r="K22" s="40"/>
    </row>
    <row r="23" s="71" customFormat="true" ht="18" hidden="false" customHeight="true" outlineLevel="0" collapsed="false">
      <c r="B23" s="86" t="s">
        <v>89</v>
      </c>
      <c r="C23" s="83"/>
      <c r="D23" s="30"/>
      <c r="E23" s="40"/>
      <c r="F23" s="88" t="n">
        <v>651312</v>
      </c>
      <c r="G23" s="77"/>
      <c r="H23" s="88" t="n">
        <v>640247</v>
      </c>
      <c r="I23" s="40"/>
      <c r="J23" s="78" t="n">
        <v>-0.02</v>
      </c>
      <c r="K23" s="40"/>
    </row>
    <row r="24" s="71" customFormat="true" ht="18" hidden="false" customHeight="true" outlineLevel="0" collapsed="false">
      <c r="B24" s="89" t="s">
        <v>90</v>
      </c>
      <c r="C24" s="83"/>
      <c r="D24" s="30"/>
      <c r="E24" s="40"/>
      <c r="F24" s="84" t="n">
        <v>21299</v>
      </c>
      <c r="G24" s="77"/>
      <c r="H24" s="84" t="n">
        <v>19691</v>
      </c>
      <c r="I24" s="40"/>
      <c r="J24" s="78" t="n">
        <v>-0.08</v>
      </c>
      <c r="K24" s="40"/>
    </row>
    <row r="25" s="71" customFormat="true" ht="18" hidden="false" customHeight="true" outlineLevel="0" collapsed="false">
      <c r="B25" s="89" t="s">
        <v>91</v>
      </c>
      <c r="C25" s="90"/>
      <c r="D25" s="30"/>
      <c r="E25" s="40"/>
      <c r="F25" s="84" t="n">
        <v>4495</v>
      </c>
      <c r="G25" s="77"/>
      <c r="H25" s="84" t="n">
        <v>4428</v>
      </c>
      <c r="I25" s="40"/>
      <c r="J25" s="78" t="n">
        <v>-0.01</v>
      </c>
      <c r="K25" s="40"/>
    </row>
    <row r="26" s="71" customFormat="true" ht="18" hidden="false" customHeight="true" outlineLevel="0" collapsed="false">
      <c r="B26" s="79" t="s">
        <v>92</v>
      </c>
      <c r="C26" s="80"/>
      <c r="D26" s="80"/>
      <c r="E26" s="40"/>
      <c r="F26" s="84" t="n">
        <v>125879</v>
      </c>
      <c r="G26" s="77"/>
      <c r="H26" s="84" t="n">
        <v>129996</v>
      </c>
      <c r="I26" s="40"/>
      <c r="J26" s="78" t="n">
        <v>0.03</v>
      </c>
      <c r="K26" s="40"/>
    </row>
    <row r="27" s="71" customFormat="true" ht="21" hidden="false" customHeight="true" outlineLevel="0" collapsed="false">
      <c r="B27" s="75" t="s">
        <v>93</v>
      </c>
      <c r="C27" s="91"/>
      <c r="D27" s="64"/>
      <c r="E27" s="40"/>
      <c r="F27" s="92" t="n">
        <v>2291413</v>
      </c>
      <c r="G27" s="77"/>
      <c r="H27" s="92" t="n">
        <v>2416676</v>
      </c>
      <c r="I27" s="40"/>
      <c r="J27" s="93" t="n">
        <v>0.05</v>
      </c>
      <c r="K27" s="40"/>
    </row>
    <row r="28" s="71" customFormat="true" ht="18" hidden="false" customHeight="true" outlineLevel="0" collapsed="false">
      <c r="B28" s="73"/>
      <c r="C28" s="91"/>
      <c r="D28" s="75"/>
      <c r="E28" s="40"/>
      <c r="F28" s="40"/>
      <c r="G28" s="77"/>
      <c r="H28" s="40"/>
      <c r="I28" s="40"/>
      <c r="J28" s="78"/>
      <c r="K28" s="40"/>
    </row>
    <row r="29" s="71" customFormat="true" ht="18" hidden="false" customHeight="true" outlineLevel="0" collapsed="false">
      <c r="B29" s="75" t="s">
        <v>94</v>
      </c>
      <c r="C29" s="91"/>
      <c r="D29" s="30"/>
      <c r="E29" s="40"/>
      <c r="F29" s="40"/>
      <c r="G29" s="77"/>
      <c r="H29" s="40"/>
      <c r="I29" s="40"/>
      <c r="J29" s="78"/>
      <c r="K29" s="40"/>
    </row>
    <row r="30" s="71" customFormat="true" ht="18" hidden="false" customHeight="true" outlineLevel="0" collapsed="false">
      <c r="B30" s="64"/>
      <c r="C30" s="79" t="s">
        <v>95</v>
      </c>
      <c r="D30" s="30"/>
      <c r="E30" s="40"/>
      <c r="F30" s="82" t="n">
        <v>158552</v>
      </c>
      <c r="G30" s="77"/>
      <c r="H30" s="82" t="n">
        <v>122655</v>
      </c>
      <c r="I30" s="40"/>
      <c r="J30" s="78" t="n">
        <v>-0.23</v>
      </c>
      <c r="K30" s="40"/>
    </row>
    <row r="31" s="71" customFormat="true" ht="18" hidden="false" customHeight="true" outlineLevel="0" collapsed="false">
      <c r="B31" s="64"/>
      <c r="C31" s="79" t="s">
        <v>96</v>
      </c>
      <c r="D31" s="30"/>
      <c r="E31" s="40"/>
      <c r="F31" s="87" t="n">
        <v>543283</v>
      </c>
      <c r="G31" s="77"/>
      <c r="H31" s="87" t="n">
        <v>607470</v>
      </c>
      <c r="I31" s="40"/>
      <c r="J31" s="78" t="n">
        <v>0.12</v>
      </c>
      <c r="K31" s="40"/>
    </row>
    <row r="32" s="71" customFormat="true" ht="18" hidden="false" customHeight="true" outlineLevel="0" collapsed="false">
      <c r="B32" s="64"/>
      <c r="C32" s="79"/>
      <c r="D32" s="30" t="s">
        <v>97</v>
      </c>
      <c r="E32" s="40"/>
      <c r="F32" s="94" t="n">
        <v>701835</v>
      </c>
      <c r="G32" s="77"/>
      <c r="H32" s="94" t="n">
        <v>730125</v>
      </c>
      <c r="I32" s="40"/>
      <c r="J32" s="78" t="n">
        <v>0.04</v>
      </c>
      <c r="K32" s="40"/>
    </row>
    <row r="33" s="71" customFormat="true" ht="18" hidden="false" customHeight="true" outlineLevel="0" collapsed="false">
      <c r="B33" s="64"/>
      <c r="C33" s="79" t="s">
        <v>98</v>
      </c>
      <c r="D33" s="30"/>
      <c r="E33" s="40"/>
      <c r="F33" s="84" t="n">
        <v>97270</v>
      </c>
      <c r="G33" s="77"/>
      <c r="H33" s="84" t="n">
        <v>95182</v>
      </c>
      <c r="I33" s="40"/>
      <c r="J33" s="78" t="n">
        <v>-0.02</v>
      </c>
      <c r="K33" s="40"/>
    </row>
    <row r="34" s="71" customFormat="true" ht="18" hidden="false" customHeight="true" outlineLevel="0" collapsed="false">
      <c r="B34" s="64"/>
      <c r="C34" s="79" t="s">
        <v>99</v>
      </c>
      <c r="D34" s="30"/>
      <c r="E34" s="40"/>
      <c r="F34" s="87" t="n">
        <v>518125</v>
      </c>
      <c r="G34" s="77"/>
      <c r="H34" s="87" t="n">
        <v>540647</v>
      </c>
      <c r="I34" s="40"/>
      <c r="J34" s="78" t="n">
        <v>0.04</v>
      </c>
      <c r="K34" s="40"/>
    </row>
    <row r="35" s="71" customFormat="true" ht="18" hidden="false" customHeight="true" outlineLevel="0" collapsed="false">
      <c r="B35" s="64"/>
      <c r="C35" s="79"/>
      <c r="D35" s="30" t="s">
        <v>100</v>
      </c>
      <c r="E35" s="40"/>
      <c r="F35" s="94" t="n">
        <v>615395</v>
      </c>
      <c r="G35" s="77"/>
      <c r="H35" s="94" t="n">
        <v>635829</v>
      </c>
      <c r="I35" s="40"/>
      <c r="J35" s="78" t="n">
        <v>0.03</v>
      </c>
      <c r="K35" s="40"/>
    </row>
    <row r="36" s="71" customFormat="true" ht="18" hidden="false" customHeight="true" outlineLevel="0" collapsed="false">
      <c r="B36" s="64"/>
      <c r="C36" s="79"/>
      <c r="D36" s="30"/>
      <c r="E36" s="40"/>
      <c r="F36" s="84"/>
      <c r="G36" s="77"/>
      <c r="H36" s="84"/>
      <c r="I36" s="40"/>
      <c r="J36" s="78"/>
      <c r="K36" s="40"/>
    </row>
    <row r="37" s="71" customFormat="true" ht="18" hidden="false" customHeight="true" outlineLevel="0" collapsed="false">
      <c r="B37" s="86" t="s">
        <v>101</v>
      </c>
      <c r="C37" s="83"/>
      <c r="D37" s="73"/>
      <c r="E37" s="40"/>
      <c r="F37" s="84" t="n">
        <v>1317230</v>
      </c>
      <c r="G37" s="77"/>
      <c r="H37" s="84" t="n">
        <v>1365954</v>
      </c>
      <c r="I37" s="40"/>
      <c r="J37" s="78" t="n">
        <v>0.04</v>
      </c>
      <c r="K37" s="40"/>
    </row>
    <row r="38" s="71" customFormat="true" ht="18" hidden="false" customHeight="true" outlineLevel="0" collapsed="false">
      <c r="B38" s="85" t="s">
        <v>102</v>
      </c>
      <c r="C38" s="83"/>
      <c r="D38" s="73"/>
      <c r="E38" s="40"/>
      <c r="F38" s="84" t="n">
        <v>191285</v>
      </c>
      <c r="G38" s="77"/>
      <c r="H38" s="84" t="n">
        <v>202444</v>
      </c>
      <c r="I38" s="40"/>
      <c r="J38" s="78" t="n">
        <v>0.06</v>
      </c>
      <c r="K38" s="40"/>
    </row>
    <row r="39" s="71" customFormat="true" ht="18" hidden="false" customHeight="true" outlineLevel="0" collapsed="false">
      <c r="B39" s="79" t="s">
        <v>103</v>
      </c>
      <c r="C39" s="80"/>
      <c r="D39" s="30"/>
      <c r="E39" s="40"/>
      <c r="F39" s="84" t="n">
        <v>61430</v>
      </c>
      <c r="G39" s="77"/>
      <c r="H39" s="84" t="n">
        <v>69218</v>
      </c>
      <c r="I39" s="40"/>
      <c r="J39" s="78" t="n">
        <v>0.13</v>
      </c>
      <c r="K39" s="40"/>
    </row>
    <row r="40" s="71" customFormat="true" ht="18" hidden="false" customHeight="true" outlineLevel="0" collapsed="false">
      <c r="B40" s="79" t="s">
        <v>104</v>
      </c>
      <c r="C40" s="30"/>
      <c r="D40" s="30"/>
      <c r="E40" s="40"/>
      <c r="F40" s="84" t="n">
        <v>161529</v>
      </c>
      <c r="G40" s="77"/>
      <c r="H40" s="84" t="n">
        <v>170647</v>
      </c>
      <c r="I40" s="40"/>
      <c r="J40" s="78" t="n">
        <v>0.06</v>
      </c>
      <c r="K40" s="40"/>
    </row>
    <row r="41" s="71" customFormat="true" ht="18" hidden="false" customHeight="true" outlineLevel="0" collapsed="false">
      <c r="B41" s="79" t="s">
        <v>105</v>
      </c>
      <c r="C41" s="81"/>
      <c r="D41" s="30"/>
      <c r="E41" s="40"/>
      <c r="F41" s="84" t="n">
        <v>27973</v>
      </c>
      <c r="G41" s="95"/>
      <c r="H41" s="84" t="n">
        <v>47096</v>
      </c>
      <c r="I41" s="44"/>
      <c r="J41" s="78" t="n">
        <v>0.68</v>
      </c>
      <c r="K41" s="44"/>
    </row>
    <row r="42" s="71" customFormat="true" ht="18" hidden="false" customHeight="true" outlineLevel="0" collapsed="false">
      <c r="B42" s="79" t="s">
        <v>106</v>
      </c>
      <c r="C42" s="30"/>
      <c r="D42" s="30"/>
      <c r="E42" s="40"/>
      <c r="F42" s="84" t="n">
        <v>254374</v>
      </c>
      <c r="G42" s="77"/>
      <c r="H42" s="84" t="n">
        <v>271606</v>
      </c>
      <c r="I42" s="40"/>
      <c r="J42" s="78" t="n">
        <v>0.07</v>
      </c>
      <c r="K42" s="40"/>
    </row>
    <row r="43" s="71" customFormat="true" ht="18" hidden="false" customHeight="true" outlineLevel="0" collapsed="false">
      <c r="B43" s="79" t="s">
        <v>107</v>
      </c>
      <c r="C43" s="30"/>
      <c r="D43" s="73"/>
      <c r="E43" s="40"/>
      <c r="F43" s="84" t="n">
        <v>74920</v>
      </c>
      <c r="G43" s="77"/>
      <c r="H43" s="84" t="n">
        <v>87873</v>
      </c>
      <c r="I43" s="40"/>
      <c r="J43" s="78" t="n">
        <v>0.17</v>
      </c>
      <c r="K43" s="40"/>
    </row>
    <row r="44" s="71" customFormat="true" ht="18" hidden="false" customHeight="true" outlineLevel="0" collapsed="false">
      <c r="B44" s="75" t="s">
        <v>108</v>
      </c>
      <c r="C44" s="30"/>
      <c r="D44" s="64"/>
      <c r="E44" s="96"/>
      <c r="F44" s="97" t="n">
        <v>2088741</v>
      </c>
      <c r="G44" s="98"/>
      <c r="H44" s="97" t="n">
        <v>2214838</v>
      </c>
      <c r="I44" s="16"/>
      <c r="J44" s="93" t="n">
        <v>0.06</v>
      </c>
    </row>
    <row r="45" s="71" customFormat="true" ht="18" hidden="false" customHeight="true" outlineLevel="0" collapsed="false">
      <c r="B45" s="79" t="s">
        <v>109</v>
      </c>
      <c r="C45" s="91"/>
      <c r="D45" s="73"/>
      <c r="F45" s="84"/>
      <c r="G45" s="30"/>
      <c r="H45" s="84"/>
      <c r="I45" s="16"/>
      <c r="J45" s="78"/>
    </row>
    <row r="46" s="71" customFormat="true" ht="18" hidden="false" customHeight="true" outlineLevel="0" collapsed="false">
      <c r="B46" s="75" t="s">
        <v>110</v>
      </c>
      <c r="C46" s="91"/>
      <c r="D46" s="73"/>
      <c r="E46" s="40"/>
      <c r="F46" s="84"/>
      <c r="G46" s="77"/>
      <c r="H46" s="84"/>
      <c r="I46" s="40"/>
      <c r="J46" s="78"/>
      <c r="K46" s="40"/>
    </row>
    <row r="47" s="71" customFormat="true" ht="18" hidden="false" customHeight="true" outlineLevel="0" collapsed="false">
      <c r="B47" s="75" t="s">
        <v>111</v>
      </c>
      <c r="C47" s="91"/>
      <c r="D47" s="73"/>
      <c r="E47" s="40"/>
      <c r="F47" s="84"/>
      <c r="G47" s="77"/>
      <c r="H47" s="84"/>
      <c r="I47" s="40"/>
      <c r="J47" s="78"/>
      <c r="K47" s="40"/>
    </row>
    <row r="48" s="71" customFormat="true" ht="18" hidden="false" customHeight="true" outlineLevel="0" collapsed="false">
      <c r="B48" s="79" t="s">
        <v>112</v>
      </c>
      <c r="C48" s="81"/>
      <c r="D48" s="99"/>
      <c r="E48" s="40"/>
      <c r="F48" s="100" t="n">
        <v>18995</v>
      </c>
      <c r="G48" s="101"/>
      <c r="H48" s="100" t="n">
        <v>18995</v>
      </c>
      <c r="I48" s="102"/>
      <c r="J48" s="78" t="s">
        <v>36</v>
      </c>
      <c r="K48" s="102"/>
    </row>
    <row r="49" s="71" customFormat="true" ht="25.5" hidden="false" customHeight="true" outlineLevel="0" collapsed="false">
      <c r="B49" s="79" t="s">
        <v>113</v>
      </c>
      <c r="C49" s="81"/>
      <c r="D49" s="99"/>
      <c r="E49" s="40"/>
      <c r="F49" s="84" t="n">
        <v>31</v>
      </c>
      <c r="G49" s="77"/>
      <c r="H49" s="84" t="n">
        <v>31</v>
      </c>
      <c r="I49" s="40"/>
      <c r="J49" s="78" t="s">
        <v>36</v>
      </c>
      <c r="K49" s="40"/>
    </row>
    <row r="50" s="71" customFormat="true" ht="18" hidden="false" customHeight="true" outlineLevel="0" collapsed="false">
      <c r="B50" s="79" t="s">
        <v>114</v>
      </c>
      <c r="C50" s="80"/>
      <c r="D50" s="80"/>
      <c r="E50" s="40"/>
      <c r="F50" s="84" t="n">
        <v>108003</v>
      </c>
      <c r="G50" s="77"/>
      <c r="H50" s="84" t="n">
        <v>108458</v>
      </c>
      <c r="I50" s="40"/>
      <c r="J50" s="78" t="s">
        <v>36</v>
      </c>
      <c r="K50" s="40"/>
    </row>
    <row r="51" s="71" customFormat="true" ht="18" hidden="false" customHeight="true" outlineLevel="0" collapsed="false">
      <c r="B51" s="79" t="s">
        <v>115</v>
      </c>
      <c r="C51" s="80"/>
      <c r="D51" s="80"/>
      <c r="E51" s="40"/>
      <c r="F51" s="84" t="n">
        <v>184948</v>
      </c>
      <c r="G51" s="77"/>
      <c r="H51" s="84" t="n">
        <v>194734</v>
      </c>
      <c r="I51" s="40"/>
      <c r="J51" s="78" t="n">
        <v>0.05</v>
      </c>
      <c r="K51" s="40"/>
    </row>
    <row r="52" s="71" customFormat="true" ht="18" hidden="false" customHeight="true" outlineLevel="0" collapsed="false">
      <c r="B52" s="79" t="s">
        <v>116</v>
      </c>
      <c r="C52" s="81"/>
      <c r="D52" s="99"/>
      <c r="E52" s="40"/>
      <c r="F52" s="84" t="n">
        <v>-71240</v>
      </c>
      <c r="G52" s="77"/>
      <c r="H52" s="84" t="n">
        <v>-73967</v>
      </c>
      <c r="I52" s="40"/>
      <c r="J52" s="78" t="n">
        <v>-0.04</v>
      </c>
      <c r="K52" s="40"/>
    </row>
    <row r="53" s="71" customFormat="true" ht="18" hidden="false" customHeight="true" outlineLevel="0" collapsed="false">
      <c r="B53" s="79" t="s">
        <v>117</v>
      </c>
      <c r="C53" s="81"/>
      <c r="D53" s="99"/>
      <c r="E53" s="40"/>
      <c r="F53" s="84" t="n">
        <v>-38765</v>
      </c>
      <c r="G53" s="77"/>
      <c r="H53" s="84" t="n">
        <v>-47062</v>
      </c>
      <c r="I53" s="40"/>
      <c r="J53" s="78" t="n">
        <v>-0.21</v>
      </c>
      <c r="K53" s="40"/>
    </row>
    <row r="54" s="71" customFormat="true" ht="18" hidden="false" customHeight="true" outlineLevel="0" collapsed="false">
      <c r="B54" s="75" t="s">
        <v>118</v>
      </c>
      <c r="C54" s="64"/>
      <c r="D54" s="80"/>
      <c r="F54" s="103" t="n">
        <v>182977</v>
      </c>
      <c r="G54" s="30"/>
      <c r="H54" s="103" t="n">
        <v>182194</v>
      </c>
      <c r="I54" s="16"/>
      <c r="J54" s="93" t="s">
        <v>36</v>
      </c>
    </row>
    <row r="55" s="71" customFormat="true" ht="18" hidden="false" customHeight="true" outlineLevel="0" collapsed="false">
      <c r="B55" s="79"/>
      <c r="C55" s="81"/>
      <c r="D55" s="99"/>
      <c r="E55" s="40"/>
      <c r="F55" s="84"/>
      <c r="G55" s="77"/>
      <c r="H55" s="84"/>
      <c r="I55" s="40"/>
      <c r="J55" s="78"/>
      <c r="K55" s="40"/>
    </row>
    <row r="56" s="71" customFormat="true" ht="18" hidden="false" customHeight="true" outlineLevel="0" collapsed="false">
      <c r="B56" s="75" t="s">
        <v>119</v>
      </c>
      <c r="C56" s="64"/>
      <c r="D56" s="80"/>
      <c r="F56" s="104" t="n">
        <v>201972</v>
      </c>
      <c r="G56" s="30"/>
      <c r="H56" s="104" t="n">
        <v>201189</v>
      </c>
      <c r="I56" s="16"/>
      <c r="J56" s="93" t="s">
        <v>36</v>
      </c>
    </row>
    <row r="57" s="71" customFormat="true" ht="18" hidden="false" customHeight="true" outlineLevel="0" collapsed="false">
      <c r="B57" s="79" t="s">
        <v>120</v>
      </c>
      <c r="C57" s="81"/>
      <c r="D57" s="99"/>
      <c r="E57" s="40"/>
      <c r="F57" s="84" t="n">
        <v>700</v>
      </c>
      <c r="G57" s="77"/>
      <c r="H57" s="84" t="n">
        <v>649</v>
      </c>
      <c r="I57" s="40"/>
      <c r="J57" s="78" t="n">
        <v>-0.07</v>
      </c>
      <c r="K57" s="40"/>
    </row>
    <row r="58" s="71" customFormat="true" ht="18" hidden="false" customHeight="true" outlineLevel="0" collapsed="false">
      <c r="B58" s="75" t="s">
        <v>121</v>
      </c>
      <c r="C58" s="64"/>
      <c r="D58" s="80"/>
      <c r="F58" s="105" t="n">
        <v>202672</v>
      </c>
      <c r="G58" s="106"/>
      <c r="H58" s="105" t="n">
        <v>201838</v>
      </c>
      <c r="I58" s="16"/>
      <c r="J58" s="93" t="s">
        <v>36</v>
      </c>
    </row>
    <row r="59" s="71" customFormat="true" ht="20.25" hidden="false" customHeight="true" outlineLevel="0" collapsed="false">
      <c r="B59" s="75" t="s">
        <v>122</v>
      </c>
      <c r="C59" s="107"/>
      <c r="D59" s="64"/>
      <c r="F59" s="92" t="n">
        <v>2291413</v>
      </c>
      <c r="G59" s="30"/>
      <c r="H59" s="92" t="n">
        <v>2416676</v>
      </c>
      <c r="I59" s="16"/>
      <c r="J59" s="93" t="n">
        <v>0.05</v>
      </c>
    </row>
    <row r="60" s="71" customFormat="true" ht="18" hidden="false" customHeight="true" outlineLevel="0" collapsed="false">
      <c r="B60" s="58"/>
      <c r="C60" s="59"/>
      <c r="D60" s="60"/>
      <c r="E60" s="60"/>
      <c r="F60" s="108"/>
      <c r="G60" s="108"/>
      <c r="H60" s="108"/>
      <c r="I60" s="108"/>
      <c r="J60" s="109"/>
    </row>
    <row r="61" s="71" customFormat="true" ht="18" hidden="false" customHeight="true" outlineLevel="0" collapsed="false">
      <c r="F61" s="110"/>
      <c r="G61" s="30"/>
      <c r="H61" s="110"/>
      <c r="I61" s="16"/>
    </row>
    <row r="62" s="71" customFormat="true" ht="18" hidden="false" customHeight="true" outlineLevel="0" collapsed="false">
      <c r="B62" s="111" t="s">
        <v>61</v>
      </c>
      <c r="C62" s="71" t="s">
        <v>123</v>
      </c>
      <c r="F62" s="112"/>
      <c r="G62" s="30"/>
      <c r="H62" s="112"/>
      <c r="I62" s="16"/>
    </row>
    <row r="63" s="71" customFormat="true" ht="21" hidden="false" customHeight="true" outlineLevel="0" collapsed="false">
      <c r="B63" s="111" t="s">
        <v>63</v>
      </c>
      <c r="C63" s="71" t="s">
        <v>124</v>
      </c>
      <c r="F63" s="112"/>
      <c r="G63" s="30"/>
      <c r="H63" s="112"/>
      <c r="I63" s="16"/>
    </row>
    <row r="64" s="71" customFormat="true" ht="20.25" hidden="false" customHeight="true" outlineLevel="0" collapsed="false">
      <c r="B64" s="111" t="s">
        <v>65</v>
      </c>
      <c r="C64" s="71" t="s">
        <v>125</v>
      </c>
      <c r="F64" s="112"/>
      <c r="G64" s="30"/>
      <c r="H64" s="112"/>
      <c r="I64" s="16"/>
    </row>
    <row r="65" s="71" customFormat="true" ht="20.25" hidden="false" customHeight="true" outlineLevel="0" collapsed="false">
      <c r="B65" s="111" t="s">
        <v>67</v>
      </c>
      <c r="C65" s="71" t="s">
        <v>126</v>
      </c>
      <c r="F65" s="16"/>
      <c r="G65" s="30"/>
      <c r="H65" s="16"/>
      <c r="I65" s="16"/>
    </row>
    <row r="66" s="71" customFormat="true" ht="21" hidden="false" customHeight="true" outlineLevel="0" collapsed="false">
      <c r="B66" s="111" t="s">
        <v>69</v>
      </c>
      <c r="C66" s="71" t="s">
        <v>127</v>
      </c>
      <c r="F66" s="16"/>
      <c r="G66" s="30"/>
      <c r="H66" s="16"/>
      <c r="I66" s="16"/>
    </row>
    <row r="67" s="71" customFormat="true" ht="21" hidden="false" customHeight="true" outlineLevel="0" collapsed="false">
      <c r="B67" s="111"/>
      <c r="C67" s="71" t="s">
        <v>128</v>
      </c>
      <c r="F67" s="16"/>
      <c r="G67" s="30"/>
      <c r="H67" s="16"/>
      <c r="I67" s="16"/>
    </row>
    <row r="68" s="71" customFormat="true" ht="21" hidden="false" customHeight="true" outlineLevel="0" collapsed="false">
      <c r="B68" s="111"/>
      <c r="C68" s="71" t="s">
        <v>129</v>
      </c>
      <c r="F68" s="16"/>
      <c r="G68" s="30"/>
      <c r="H68" s="16"/>
      <c r="I68" s="16"/>
    </row>
    <row r="69" s="71" customFormat="true" ht="21" hidden="false" customHeight="true" outlineLevel="0" collapsed="false">
      <c r="B69" s="111"/>
      <c r="C69" s="71" t="s">
        <v>130</v>
      </c>
      <c r="F69" s="16"/>
      <c r="G69" s="30"/>
      <c r="H69" s="16"/>
      <c r="I69" s="16"/>
    </row>
    <row r="70" s="71" customFormat="true" ht="21" hidden="false" customHeight="true" outlineLevel="0" collapsed="false">
      <c r="B70" s="111"/>
      <c r="C70" s="71" t="s">
        <v>131</v>
      </c>
      <c r="F70" s="16"/>
      <c r="G70" s="30"/>
      <c r="H70" s="16"/>
      <c r="I70" s="16"/>
    </row>
    <row r="71" s="71" customFormat="true" ht="21" hidden="false" customHeight="true" outlineLevel="0" collapsed="false">
      <c r="B71" s="111"/>
      <c r="F71" s="16"/>
      <c r="G71" s="30"/>
      <c r="H71" s="16"/>
      <c r="I71" s="16"/>
    </row>
    <row r="72" s="71" customFormat="true" ht="18" hidden="false" customHeight="true" outlineLevel="0" collapsed="false">
      <c r="B72" s="71" t="s">
        <v>71</v>
      </c>
      <c r="D72" s="111"/>
      <c r="F72" s="16"/>
      <c r="G72" s="16"/>
      <c r="H72" s="16"/>
      <c r="I72" s="16"/>
    </row>
    <row r="73" s="71" customFormat="true" ht="18" hidden="false" customHeight="true" outlineLevel="0" collapsed="false">
      <c r="B73" s="71" t="s">
        <v>72</v>
      </c>
      <c r="F73" s="16"/>
      <c r="G73" s="16"/>
      <c r="H73" s="16"/>
      <c r="I73" s="16"/>
    </row>
    <row r="74" s="71" customFormat="true" ht="9" hidden="false" customHeight="true" outlineLevel="0" collapsed="false">
      <c r="F74" s="16"/>
      <c r="G74" s="16"/>
      <c r="H74" s="16"/>
      <c r="I74" s="16"/>
    </row>
    <row r="75" s="71" customFormat="true" ht="19.35" hidden="false" customHeight="false" outlineLevel="0" collapsed="false">
      <c r="F75" s="16"/>
      <c r="G75" s="16"/>
      <c r="H75" s="16"/>
      <c r="I75" s="16"/>
    </row>
    <row r="76" s="71" customFormat="true" ht="19.35" hidden="false" customHeight="false" outlineLevel="0" collapsed="false">
      <c r="F76" s="16"/>
      <c r="G76" s="16"/>
      <c r="H76" s="16"/>
      <c r="I76" s="16"/>
    </row>
    <row r="77" s="71" customFormat="true" ht="19.35" hidden="false" customHeight="false" outlineLevel="0" collapsed="false">
      <c r="F77" s="16"/>
      <c r="G77" s="16"/>
      <c r="H77" s="113"/>
      <c r="I77" s="16"/>
    </row>
    <row r="78" s="71" customFormat="true" ht="19.35" hidden="false" customHeight="false" outlineLevel="0" collapsed="false">
      <c r="F78" s="16"/>
      <c r="G78" s="16"/>
      <c r="H78" s="16"/>
      <c r="I78" s="16"/>
    </row>
    <row r="79" s="71" customFormat="true" ht="19.35" hidden="false" customHeight="false" outlineLevel="0" collapsed="false">
      <c r="F79" s="16"/>
      <c r="G79" s="16"/>
      <c r="H79" s="16"/>
      <c r="I79" s="16"/>
    </row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3</oddFooter>
  </headerFooter>
  <rowBreaks count="1" manualBreakCount="1">
    <brk id="76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H8" activeCellId="0" sqref="H8 H8"/>
    </sheetView>
  </sheetViews>
  <sheetFormatPr defaultColWidth="9.32421875" defaultRowHeight="17" zeroHeight="false" outlineLevelRow="0" outlineLevelCol="0"/>
  <cols>
    <col collapsed="false" customWidth="true" hidden="false" outlineLevel="0" max="3" min="1" style="14" width="4.82"/>
    <col collapsed="false" customWidth="true" hidden="false" outlineLevel="0" max="4" min="4" style="14" width="100.82"/>
    <col collapsed="false" customWidth="true" hidden="false" outlineLevel="0" max="5" min="5" style="14" width="2.82"/>
    <col collapsed="false" customWidth="true" hidden="false" outlineLevel="0" max="6" min="6" style="14" width="18.65"/>
    <col collapsed="false" customWidth="true" hidden="false" outlineLevel="0" max="7" min="7" style="18" width="2.82"/>
    <col collapsed="false" customWidth="true" hidden="false" outlineLevel="0" max="8" min="8" style="14" width="19.32"/>
    <col collapsed="false" customWidth="true" hidden="false" outlineLevel="0" max="9" min="9" style="14" width="2.82"/>
    <col collapsed="false" customWidth="true" hidden="false" outlineLevel="0" max="10" min="10" style="14" width="29.49"/>
    <col collapsed="false" customWidth="true" hidden="false" outlineLevel="0" max="11" min="11" style="14" width="3.15"/>
    <col collapsed="false" customWidth="false" hidden="false" outlineLevel="0" max="257" min="12" style="14" width="9.32"/>
  </cols>
  <sheetData>
    <row r="1" customFormat="false" ht="18" hidden="false" customHeight="true" outlineLevel="0" collapsed="false">
      <c r="A1" s="114" t="s">
        <v>109</v>
      </c>
      <c r="B1" s="115"/>
      <c r="C1" s="116"/>
      <c r="D1" s="117"/>
      <c r="E1" s="116"/>
      <c r="F1" s="118"/>
      <c r="G1" s="116"/>
      <c r="H1" s="118"/>
      <c r="I1" s="118"/>
      <c r="J1" s="118"/>
      <c r="K1" s="118"/>
    </row>
    <row r="2" customFormat="false" ht="20.1" hidden="false" customHeight="true" outlineLevel="0" collapsed="false">
      <c r="B2" s="19"/>
      <c r="E2" s="119"/>
      <c r="F2" s="67"/>
      <c r="G2" s="67"/>
      <c r="H2" s="67"/>
      <c r="I2" s="67"/>
      <c r="J2" s="67"/>
      <c r="K2" s="67"/>
    </row>
    <row r="3" customFormat="false" ht="27" hidden="false" customHeight="true" outlineLevel="0" collapsed="false">
      <c r="B3" s="120" t="s">
        <v>132</v>
      </c>
      <c r="E3" s="119"/>
      <c r="F3" s="67"/>
      <c r="G3" s="67"/>
      <c r="H3" s="70"/>
      <c r="I3" s="70"/>
      <c r="J3" s="70"/>
      <c r="K3" s="70"/>
    </row>
    <row r="4" customFormat="false" ht="18" hidden="false" customHeight="true" outlineLevel="0" collapsed="false">
      <c r="B4" s="21" t="s">
        <v>25</v>
      </c>
      <c r="E4" s="119"/>
      <c r="F4" s="67"/>
      <c r="G4" s="67"/>
      <c r="H4" s="70"/>
      <c r="I4" s="70"/>
      <c r="J4" s="70"/>
      <c r="K4" s="70"/>
    </row>
    <row r="5" customFormat="false" ht="34.3" hidden="false" customHeight="false" outlineLevel="0" collapsed="false">
      <c r="A5" s="71"/>
      <c r="B5" s="70"/>
      <c r="C5" s="121"/>
      <c r="D5" s="70"/>
      <c r="E5" s="122"/>
      <c r="F5" s="26" t="s">
        <v>2</v>
      </c>
      <c r="G5" s="26"/>
      <c r="H5" s="26" t="s">
        <v>1</v>
      </c>
      <c r="I5" s="30"/>
      <c r="J5" s="28" t="s">
        <v>3</v>
      </c>
      <c r="K5" s="123"/>
    </row>
    <row r="6" customFormat="false" ht="19.5" hidden="false" customHeight="true" outlineLevel="0" collapsed="false">
      <c r="A6" s="71"/>
      <c r="B6" s="124" t="s">
        <v>133</v>
      </c>
      <c r="C6" s="125"/>
      <c r="D6" s="126"/>
      <c r="E6" s="74"/>
      <c r="F6" s="74"/>
      <c r="G6" s="73"/>
      <c r="H6" s="74"/>
      <c r="I6" s="74"/>
      <c r="J6" s="74"/>
      <c r="K6" s="127"/>
    </row>
    <row r="7" customFormat="false" ht="25.15" hidden="false" customHeight="true" outlineLevel="0" collapsed="false">
      <c r="A7" s="71"/>
      <c r="B7" s="124"/>
      <c r="C7" s="85" t="s">
        <v>134</v>
      </c>
      <c r="D7" s="124"/>
      <c r="E7" s="81"/>
      <c r="F7" s="82" t="n">
        <v>8908</v>
      </c>
      <c r="G7" s="82"/>
      <c r="H7" s="82" t="n">
        <v>9159</v>
      </c>
      <c r="I7" s="128"/>
      <c r="J7" s="78" t="n">
        <v>0.03</v>
      </c>
      <c r="K7" s="129"/>
    </row>
    <row r="8" customFormat="false" ht="18" hidden="false" customHeight="true" outlineLevel="0" collapsed="false">
      <c r="A8" s="71"/>
      <c r="B8" s="124"/>
      <c r="C8" s="85" t="s">
        <v>5</v>
      </c>
      <c r="D8" s="124"/>
      <c r="E8" s="81"/>
      <c r="F8" s="128" t="n">
        <v>5785</v>
      </c>
      <c r="G8" s="30"/>
      <c r="H8" s="128" t="n">
        <v>6096</v>
      </c>
      <c r="I8" s="128"/>
      <c r="J8" s="78" t="n">
        <v>0.05</v>
      </c>
      <c r="K8" s="129"/>
    </row>
    <row r="9" customFormat="false" ht="18" hidden="false" customHeight="true" outlineLevel="0" collapsed="false">
      <c r="A9" s="71"/>
      <c r="B9" s="124"/>
      <c r="C9" s="85" t="s">
        <v>6</v>
      </c>
      <c r="D9" s="124"/>
      <c r="E9" s="81"/>
      <c r="F9" s="128" t="n">
        <v>2193</v>
      </c>
      <c r="G9" s="30"/>
      <c r="H9" s="128" t="n">
        <v>2052</v>
      </c>
      <c r="I9" s="128"/>
      <c r="J9" s="78" t="n">
        <v>-0.06</v>
      </c>
      <c r="K9" s="129"/>
    </row>
    <row r="10" customFormat="false" ht="18" hidden="false" customHeight="true" outlineLevel="0" collapsed="false">
      <c r="A10" s="124"/>
      <c r="B10" s="124"/>
      <c r="C10" s="85" t="s">
        <v>135</v>
      </c>
      <c r="D10" s="71"/>
      <c r="E10" s="73"/>
      <c r="F10" s="130" t="n">
        <v>131</v>
      </c>
      <c r="G10" s="77"/>
      <c r="H10" s="130" t="n">
        <v>699</v>
      </c>
      <c r="I10" s="131"/>
      <c r="J10" s="78" t="s">
        <v>8</v>
      </c>
      <c r="K10" s="132"/>
    </row>
    <row r="11" customFormat="false" ht="12" hidden="false" customHeight="true" outlineLevel="0" collapsed="false">
      <c r="A11" s="71"/>
      <c r="B11" s="124"/>
      <c r="C11" s="71"/>
      <c r="D11" s="71"/>
      <c r="E11" s="73"/>
      <c r="F11" s="130"/>
      <c r="G11" s="77"/>
      <c r="H11" s="130"/>
      <c r="I11" s="131"/>
      <c r="J11" s="78"/>
      <c r="K11" s="132"/>
    </row>
    <row r="12" s="141" customFormat="true" ht="28.5" hidden="false" customHeight="true" outlineLevel="0" collapsed="false">
      <c r="A12" s="133"/>
      <c r="B12" s="134" t="s">
        <v>136</v>
      </c>
      <c r="C12" s="135"/>
      <c r="D12" s="136"/>
      <c r="E12" s="136"/>
      <c r="F12" s="137" t="n">
        <v>17017</v>
      </c>
      <c r="G12" s="137"/>
      <c r="H12" s="137" t="n">
        <v>18006</v>
      </c>
      <c r="I12" s="138"/>
      <c r="J12" s="139" t="n">
        <v>0.06</v>
      </c>
      <c r="K12" s="140"/>
    </row>
    <row r="13" s="144" customFormat="true" ht="25.15" hidden="false" customHeight="true" outlineLevel="0" collapsed="false">
      <c r="A13" s="142"/>
      <c r="B13" s="142"/>
      <c r="C13" s="64"/>
      <c r="D13" s="142"/>
      <c r="E13" s="142"/>
      <c r="F13" s="142"/>
      <c r="G13" s="142"/>
      <c r="H13" s="142"/>
      <c r="I13" s="142"/>
      <c r="J13" s="143"/>
      <c r="K13" s="132"/>
    </row>
    <row r="14" customFormat="false" ht="19.5" hidden="false" customHeight="true" outlineLevel="0" collapsed="false">
      <c r="A14" s="71"/>
      <c r="B14" s="124" t="s">
        <v>54</v>
      </c>
      <c r="C14" s="125"/>
      <c r="D14" s="126"/>
      <c r="E14" s="74"/>
      <c r="F14" s="74"/>
      <c r="G14" s="73"/>
      <c r="H14" s="74"/>
      <c r="I14" s="74"/>
      <c r="J14" s="74"/>
      <c r="K14" s="127"/>
    </row>
    <row r="15" customFormat="false" ht="25.15" hidden="false" customHeight="true" outlineLevel="0" collapsed="false">
      <c r="A15" s="71"/>
      <c r="B15" s="124"/>
      <c r="C15" s="85" t="s">
        <v>134</v>
      </c>
      <c r="D15" s="124"/>
      <c r="E15" s="81"/>
      <c r="F15" s="82" t="n">
        <v>2330</v>
      </c>
      <c r="G15" s="82"/>
      <c r="H15" s="82" t="n">
        <v>1916</v>
      </c>
      <c r="I15" s="128"/>
      <c r="J15" s="78" t="n">
        <v>-0.18</v>
      </c>
      <c r="K15" s="129"/>
    </row>
    <row r="16" customFormat="false" ht="18" hidden="false" customHeight="true" outlineLevel="0" collapsed="false">
      <c r="A16" s="71"/>
      <c r="B16" s="124"/>
      <c r="C16" s="85" t="s">
        <v>5</v>
      </c>
      <c r="D16" s="124"/>
      <c r="E16" s="81"/>
      <c r="F16" s="128" t="n">
        <v>1613</v>
      </c>
      <c r="G16" s="30"/>
      <c r="H16" s="128" t="n">
        <v>114</v>
      </c>
      <c r="I16" s="128"/>
      <c r="J16" s="78" t="n">
        <v>-0.93</v>
      </c>
      <c r="K16" s="129"/>
    </row>
    <row r="17" customFormat="false" ht="18" hidden="false" customHeight="true" outlineLevel="0" collapsed="false">
      <c r="A17" s="71"/>
      <c r="B17" s="124"/>
      <c r="C17" s="85" t="s">
        <v>6</v>
      </c>
      <c r="D17" s="124"/>
      <c r="E17" s="81"/>
      <c r="F17" s="128" t="n">
        <v>-620</v>
      </c>
      <c r="G17" s="30"/>
      <c r="H17" s="128" t="n">
        <v>75</v>
      </c>
      <c r="I17" s="128"/>
      <c r="J17" s="78" t="s">
        <v>8</v>
      </c>
      <c r="K17" s="129"/>
    </row>
    <row r="18" customFormat="false" ht="18" hidden="false" customHeight="true" outlineLevel="0" collapsed="false">
      <c r="A18" s="124"/>
      <c r="B18" s="124"/>
      <c r="C18" s="85" t="s">
        <v>135</v>
      </c>
      <c r="D18" s="71"/>
      <c r="E18" s="73"/>
      <c r="F18" s="130" t="n">
        <v>-144</v>
      </c>
      <c r="G18" s="77"/>
      <c r="H18" s="130" t="n">
        <v>431</v>
      </c>
      <c r="I18" s="131"/>
      <c r="J18" s="78" t="s">
        <v>8</v>
      </c>
      <c r="K18" s="132"/>
    </row>
    <row r="19" customFormat="false" ht="12" hidden="false" customHeight="true" outlineLevel="0" collapsed="false">
      <c r="A19" s="71"/>
      <c r="B19" s="124"/>
      <c r="C19" s="71"/>
      <c r="D19" s="71"/>
      <c r="E19" s="73"/>
      <c r="F19" s="130"/>
      <c r="G19" s="77"/>
      <c r="H19" s="130"/>
      <c r="I19" s="131"/>
      <c r="J19" s="78"/>
      <c r="K19" s="132"/>
    </row>
    <row r="20" s="141" customFormat="true" ht="28.5" hidden="false" customHeight="true" outlineLevel="0" collapsed="false">
      <c r="A20" s="133"/>
      <c r="B20" s="134" t="s">
        <v>17</v>
      </c>
      <c r="C20" s="135"/>
      <c r="D20" s="136"/>
      <c r="E20" s="136"/>
      <c r="F20" s="137" t="n">
        <v>3179</v>
      </c>
      <c r="G20" s="137"/>
      <c r="H20" s="137" t="n">
        <v>2536</v>
      </c>
      <c r="I20" s="138"/>
      <c r="J20" s="139" t="n">
        <v>-0.2</v>
      </c>
      <c r="K20" s="140"/>
    </row>
    <row r="21" s="141" customFormat="true" ht="18.6" hidden="false" customHeight="true" outlineLevel="0" collapsed="false">
      <c r="A21" s="133"/>
      <c r="B21" s="91"/>
      <c r="C21" s="145"/>
      <c r="D21" s="81"/>
      <c r="E21" s="81"/>
      <c r="F21" s="146"/>
      <c r="G21" s="146"/>
      <c r="H21" s="146"/>
      <c r="I21" s="147"/>
      <c r="J21" s="93"/>
      <c r="K21" s="148"/>
    </row>
    <row r="22" customFormat="false" ht="18" hidden="false" customHeight="true" outlineLevel="0" collapsed="false">
      <c r="A22" s="71"/>
      <c r="B22" s="149" t="s">
        <v>137</v>
      </c>
      <c r="C22" s="71"/>
      <c r="D22" s="43"/>
      <c r="E22" s="81"/>
      <c r="F22" s="84" t="n">
        <v>0</v>
      </c>
      <c r="G22" s="84"/>
      <c r="H22" s="84" t="n">
        <v>-2</v>
      </c>
      <c r="I22" s="150"/>
      <c r="J22" s="78" t="s">
        <v>8</v>
      </c>
      <c r="K22" s="127"/>
    </row>
    <row r="23" customFormat="false" ht="11.25" hidden="false" customHeight="true" outlineLevel="0" collapsed="false">
      <c r="A23" s="71"/>
      <c r="B23" s="71"/>
      <c r="C23" s="124"/>
      <c r="D23" s="71"/>
      <c r="E23" s="73"/>
      <c r="F23" s="131"/>
      <c r="G23" s="30"/>
      <c r="H23" s="131"/>
      <c r="I23" s="131"/>
      <c r="J23" s="78"/>
      <c r="K23" s="129"/>
    </row>
    <row r="24" customFormat="false" ht="18" hidden="false" customHeight="true" outlineLevel="0" collapsed="false">
      <c r="A24" s="71"/>
      <c r="B24" s="29" t="s">
        <v>138</v>
      </c>
      <c r="C24" s="71"/>
      <c r="D24" s="43"/>
      <c r="E24" s="81"/>
      <c r="F24" s="84" t="n">
        <v>6</v>
      </c>
      <c r="G24" s="84"/>
      <c r="H24" s="84" t="n">
        <v>21</v>
      </c>
      <c r="I24" s="150"/>
      <c r="J24" s="78" t="s">
        <v>8</v>
      </c>
      <c r="K24" s="127"/>
    </row>
    <row r="25" customFormat="false" ht="18" hidden="false" customHeight="true" outlineLevel="0" collapsed="false">
      <c r="A25" s="71"/>
      <c r="B25" s="71"/>
      <c r="C25" s="124"/>
      <c r="D25" s="71"/>
      <c r="E25" s="73"/>
      <c r="F25" s="131"/>
      <c r="G25" s="30"/>
      <c r="H25" s="131"/>
      <c r="I25" s="131"/>
      <c r="J25" s="78"/>
      <c r="K25" s="129"/>
    </row>
    <row r="26" s="141" customFormat="true" ht="27.75" hidden="false" customHeight="true" outlineLevel="0" collapsed="false">
      <c r="A26" s="133"/>
      <c r="B26" s="134" t="s">
        <v>139</v>
      </c>
      <c r="C26" s="135"/>
      <c r="D26" s="136"/>
      <c r="E26" s="136"/>
      <c r="F26" s="137" t="n">
        <v>3173</v>
      </c>
      <c r="G26" s="137"/>
      <c r="H26" s="137" t="n">
        <v>2513</v>
      </c>
      <c r="I26" s="138"/>
      <c r="J26" s="139" t="n">
        <v>-0.21</v>
      </c>
      <c r="K26" s="140"/>
    </row>
    <row r="27" s="144" customFormat="true" ht="25.15" hidden="false" customHeight="true" outlineLevel="0" collapsed="false">
      <c r="A27" s="142"/>
      <c r="B27" s="142"/>
      <c r="C27" s="64"/>
      <c r="D27" s="142"/>
      <c r="E27" s="142"/>
      <c r="F27" s="142"/>
      <c r="G27" s="142"/>
      <c r="H27" s="142"/>
      <c r="I27" s="142"/>
      <c r="J27" s="143"/>
      <c r="K27" s="143"/>
    </row>
    <row r="28" s="144" customFormat="true" ht="18" hidden="false" customHeight="true" outlineLevel="0" collapsed="false">
      <c r="A28" s="142"/>
      <c r="B28" s="142"/>
      <c r="C28" s="64"/>
      <c r="D28" s="142"/>
      <c r="E28" s="142"/>
      <c r="F28" s="142"/>
      <c r="G28" s="142"/>
      <c r="H28" s="142"/>
      <c r="I28" s="142"/>
      <c r="J28" s="143"/>
      <c r="K28" s="142"/>
    </row>
    <row r="29" s="144" customFormat="true" ht="18" hidden="false" customHeight="true" outlineLevel="0" collapsed="false">
      <c r="A29" s="142"/>
      <c r="B29" s="64"/>
      <c r="C29" s="64"/>
      <c r="D29" s="64"/>
      <c r="E29" s="142"/>
      <c r="F29" s="142"/>
      <c r="G29" s="142"/>
      <c r="H29" s="142"/>
      <c r="I29" s="142"/>
      <c r="J29" s="143"/>
      <c r="K29" s="142"/>
    </row>
    <row r="30" customFormat="false" ht="18" hidden="false" customHeight="true" outlineLevel="0" collapsed="false">
      <c r="A30" s="71"/>
      <c r="B30" s="64" t="s">
        <v>71</v>
      </c>
      <c r="C30" s="71"/>
      <c r="D30" s="71"/>
      <c r="E30" s="73"/>
      <c r="F30" s="131"/>
      <c r="G30" s="131"/>
      <c r="H30" s="131"/>
      <c r="I30" s="130"/>
      <c r="J30" s="143"/>
      <c r="K30" s="130"/>
    </row>
    <row r="31" customFormat="false" ht="18" hidden="false" customHeight="true" outlineLevel="0" collapsed="false">
      <c r="A31" s="71"/>
      <c r="B31" s="64" t="s">
        <v>72</v>
      </c>
      <c r="C31" s="71"/>
      <c r="D31" s="71"/>
      <c r="E31" s="73"/>
      <c r="F31" s="130"/>
      <c r="G31" s="131"/>
      <c r="H31" s="130"/>
      <c r="I31" s="130"/>
      <c r="J31" s="143"/>
      <c r="K31" s="130"/>
    </row>
    <row r="32" customFormat="false" ht="18" hidden="false" customHeight="true" outlineLevel="0" collapsed="false">
      <c r="A32" s="71"/>
      <c r="B32" s="71"/>
      <c r="C32" s="71"/>
      <c r="D32" s="71"/>
      <c r="E32" s="73"/>
      <c r="F32" s="73"/>
      <c r="G32" s="30"/>
      <c r="H32" s="73"/>
      <c r="I32" s="73"/>
      <c r="J32" s="143"/>
      <c r="K32" s="73"/>
    </row>
    <row r="33" customFormat="false" ht="18" hidden="false" customHeight="true" outlineLevel="0" collapsed="false">
      <c r="A33" s="71"/>
      <c r="B33" s="71"/>
      <c r="C33" s="71"/>
      <c r="D33" s="71"/>
      <c r="E33" s="73"/>
      <c r="F33" s="73"/>
      <c r="G33" s="30"/>
      <c r="H33" s="73"/>
      <c r="I33" s="73"/>
      <c r="J33" s="143"/>
      <c r="K33" s="73"/>
    </row>
    <row r="34" customFormat="false" ht="18" hidden="false" customHeight="true" outlineLevel="0" collapsed="false">
      <c r="A34" s="71"/>
      <c r="B34" s="71"/>
      <c r="C34" s="71"/>
      <c r="D34" s="71"/>
      <c r="E34" s="73"/>
      <c r="F34" s="73"/>
      <c r="G34" s="30"/>
      <c r="H34" s="73"/>
      <c r="I34" s="73"/>
      <c r="J34" s="143"/>
      <c r="K34" s="73"/>
    </row>
    <row r="35" customFormat="false" ht="18" hidden="false" customHeight="true" outlineLevel="0" collapsed="false">
      <c r="A35" s="71"/>
      <c r="B35" s="71"/>
      <c r="C35" s="71"/>
      <c r="D35" s="71"/>
      <c r="E35" s="73"/>
      <c r="F35" s="151"/>
      <c r="G35" s="30"/>
      <c r="H35" s="151"/>
      <c r="I35" s="73"/>
      <c r="J35" s="143"/>
      <c r="K35" s="73"/>
    </row>
    <row r="36" customFormat="false" ht="18" hidden="false" customHeight="true" outlineLevel="0" collapsed="false">
      <c r="A36" s="71"/>
      <c r="B36" s="71"/>
      <c r="C36" s="71"/>
      <c r="D36" s="71"/>
      <c r="E36" s="73"/>
      <c r="F36" s="73"/>
      <c r="G36" s="30"/>
      <c r="H36" s="73"/>
      <c r="I36" s="73"/>
      <c r="J36" s="143"/>
      <c r="K36" s="73"/>
    </row>
    <row r="37" customFormat="false" ht="18" hidden="false" customHeight="true" outlineLevel="0" collapsed="false">
      <c r="A37" s="71"/>
      <c r="B37" s="71"/>
      <c r="C37" s="71"/>
      <c r="D37" s="71"/>
      <c r="E37" s="73"/>
      <c r="F37" s="73"/>
      <c r="G37" s="30"/>
      <c r="H37" s="73"/>
      <c r="I37" s="73"/>
      <c r="J37" s="143"/>
      <c r="K37" s="73"/>
    </row>
    <row r="38" customFormat="false" ht="18" hidden="false" customHeight="true" outlineLevel="0" collapsed="false">
      <c r="A38" s="71"/>
      <c r="B38" s="71"/>
      <c r="C38" s="71"/>
      <c r="D38" s="71"/>
      <c r="E38" s="73"/>
      <c r="F38" s="151"/>
      <c r="G38" s="30"/>
      <c r="H38" s="151"/>
      <c r="I38" s="73"/>
      <c r="J38" s="143"/>
      <c r="K38" s="73"/>
    </row>
    <row r="39" customFormat="false" ht="18" hidden="false" customHeight="true" outlineLevel="0" collapsed="false">
      <c r="A39" s="71"/>
      <c r="B39" s="71"/>
      <c r="C39" s="71"/>
      <c r="D39" s="71"/>
      <c r="E39" s="73"/>
      <c r="F39" s="151"/>
      <c r="G39" s="30"/>
      <c r="H39" s="151"/>
      <c r="I39" s="73"/>
      <c r="J39" s="143"/>
      <c r="K39" s="73"/>
    </row>
    <row r="40" customFormat="false" ht="19.35" hidden="false" customHeight="false" outlineLevel="0" collapsed="false"/>
    <row r="41" customFormat="false" ht="19.35" hidden="false" customHeight="false" outlineLevel="0" collapsed="false"/>
    <row r="42" customFormat="false" ht="19.35" hidden="false" customHeight="false" outlineLevel="0" collapsed="false"/>
    <row r="43" customFormat="false" ht="19.35" hidden="false" customHeight="false" outlineLevel="0" collapsed="false"/>
    <row r="44" customFormat="false" ht="19.35" hidden="false" customHeight="false" outlineLevel="0" collapsed="false"/>
    <row r="45" customFormat="false" ht="19.35" hidden="false" customHeight="false" outlineLevel="0" collapsed="false"/>
    <row r="46" customFormat="false" ht="19.35" hidden="false" customHeight="false" outlineLevel="0" collapsed="false"/>
    <row r="47" customFormat="false" ht="19.35" hidden="false" customHeight="false" outlineLevel="0" collapsed="false"/>
    <row r="48" customFormat="false" ht="19.35" hidden="false" customHeight="false" outlineLevel="0" collapsed="false"/>
    <row r="49" customFormat="false" ht="19.35" hidden="false" customHeight="false" outlineLevel="0" collapsed="false"/>
    <row r="50" customFormat="false" ht="19.35" hidden="false" customHeight="false" outlineLevel="0" collapsed="false"/>
    <row r="51" customFormat="false" ht="19.35" hidden="false" customHeight="false" outlineLevel="0" collapsed="false"/>
    <row r="52" customFormat="false" ht="19.35" hidden="false" customHeight="false" outlineLevel="0" collapsed="false"/>
    <row r="53" customFormat="false" ht="19.35" hidden="false" customHeight="false" outlineLevel="0" collapsed="false"/>
    <row r="54" customFormat="false" ht="19.35" hidden="false" customHeight="false" outlineLevel="0" collapsed="false"/>
    <row r="55" customFormat="false" ht="19.35" hidden="false" customHeight="false" outlineLevel="0" collapsed="false"/>
    <row r="56" customFormat="false" ht="19.35" hidden="false" customHeight="false" outlineLevel="0" collapsed="false"/>
    <row r="57" customFormat="false" ht="19.35" hidden="false" customHeight="false" outlineLevel="0" collapsed="false"/>
    <row r="58" customFormat="false" ht="19.35" hidden="false" customHeight="false" outlineLevel="0" collapsed="false"/>
    <row r="59" customFormat="false" ht="19.35" hidden="false" customHeight="false" outlineLevel="0" collapsed="false"/>
    <row r="60" customFormat="false" ht="19.35" hidden="false" customHeight="false" outlineLevel="0" collapsed="false"/>
    <row r="61" customFormat="false" ht="19.35" hidden="false" customHeight="false" outlineLevel="0" collapsed="false"/>
    <row r="62" customFormat="false" ht="19.35" hidden="false" customHeight="false" outlineLevel="0" collapsed="false"/>
    <row r="63" customFormat="false" ht="19.35" hidden="false" customHeight="false" outlineLevel="0" collapsed="false"/>
    <row r="64" customFormat="false" ht="19.35" hidden="false" customHeight="false" outlineLevel="0" collapsed="false"/>
    <row r="65" customFormat="false" ht="19.35" hidden="false" customHeight="false" outlineLevel="0" collapsed="false"/>
    <row r="66" customFormat="false" ht="19.35" hidden="false" customHeight="false" outlineLevel="0" collapsed="false"/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D23" activeCellId="0" sqref="D23 D23"/>
    </sheetView>
  </sheetViews>
  <sheetFormatPr defaultColWidth="9.32421875" defaultRowHeight="17" zeroHeight="false" outlineLevelRow="0" outlineLevelCol="0"/>
  <cols>
    <col collapsed="false" customWidth="true" hidden="false" outlineLevel="0" max="1" min="1" style="152" width="4.82"/>
    <col collapsed="false" customWidth="true" hidden="false" outlineLevel="0" max="2" min="2" style="152" width="5.65"/>
    <col collapsed="false" customWidth="true" hidden="false" outlineLevel="0" max="3" min="3" style="152" width="4.82"/>
    <col collapsed="false" customWidth="true" hidden="false" outlineLevel="0" max="4" min="4" style="152" width="103.82"/>
    <col collapsed="false" customWidth="true" hidden="false" outlineLevel="0" max="5" min="5" style="152" width="6.32"/>
    <col collapsed="false" customWidth="true" hidden="false" outlineLevel="0" max="6" min="6" style="152" width="17.32"/>
    <col collapsed="false" customWidth="true" hidden="false" outlineLevel="0" max="7" min="7" style="153" width="2.82"/>
    <col collapsed="false" customWidth="true" hidden="false" outlineLevel="0" max="8" min="8" style="153" width="17.15"/>
    <col collapsed="false" customWidth="true" hidden="false" outlineLevel="0" max="9" min="9" style="153" width="4.65"/>
    <col collapsed="false" customWidth="true" hidden="false" outlineLevel="0" max="10" min="10" style="152" width="18.82"/>
    <col collapsed="false" customWidth="true" hidden="false" outlineLevel="0" max="11" min="11" style="152" width="6.15"/>
    <col collapsed="false" customWidth="false" hidden="false" outlineLevel="0" max="257" min="12" style="152" width="9.32"/>
  </cols>
  <sheetData>
    <row r="1" customFormat="false" ht="15.75" hidden="false" customHeight="true" outlineLevel="0" collapsed="false">
      <c r="D1" s="154"/>
      <c r="E1" s="155"/>
      <c r="F1" s="154"/>
      <c r="G1" s="156"/>
      <c r="H1" s="156"/>
      <c r="I1" s="156"/>
      <c r="J1" s="116"/>
      <c r="K1" s="116"/>
    </row>
    <row r="2" customFormat="false" ht="24" hidden="false" customHeight="true" outlineLevel="0" collapsed="false">
      <c r="B2" s="19" t="s">
        <v>140</v>
      </c>
      <c r="C2" s="157"/>
      <c r="D2" s="158"/>
      <c r="E2" s="155"/>
      <c r="F2" s="159"/>
      <c r="G2" s="158"/>
      <c r="H2" s="159"/>
      <c r="I2" s="160"/>
      <c r="J2" s="122"/>
      <c r="K2" s="122"/>
    </row>
    <row r="3" customFormat="false" ht="18" hidden="false" customHeight="true" outlineLevel="0" collapsed="false">
      <c r="B3" s="21" t="s">
        <v>141</v>
      </c>
      <c r="C3" s="157"/>
      <c r="D3" s="158"/>
      <c r="E3" s="161"/>
      <c r="F3" s="158"/>
      <c r="G3" s="158"/>
      <c r="H3" s="160"/>
      <c r="I3" s="160"/>
      <c r="J3" s="122"/>
      <c r="K3" s="122"/>
    </row>
    <row r="4" customFormat="false" ht="65.65" hidden="false" customHeight="false" outlineLevel="0" collapsed="false">
      <c r="A4" s="64"/>
      <c r="B4" s="64"/>
      <c r="C4" s="64"/>
      <c r="D4" s="64"/>
      <c r="E4" s="162"/>
      <c r="F4" s="26" t="s">
        <v>2</v>
      </c>
      <c r="G4" s="26"/>
      <c r="H4" s="26" t="s">
        <v>1</v>
      </c>
      <c r="I4" s="30"/>
      <c r="J4" s="28" t="s">
        <v>3</v>
      </c>
      <c r="K4" s="74"/>
    </row>
    <row r="5" customFormat="false" ht="12" hidden="false" customHeight="true" outlineLevel="0" collapsed="false">
      <c r="A5" s="64"/>
      <c r="B5" s="64"/>
      <c r="C5" s="64"/>
      <c r="D5" s="64"/>
      <c r="E5" s="162"/>
      <c r="F5" s="74"/>
      <c r="G5" s="163"/>
      <c r="H5" s="74"/>
      <c r="I5" s="163"/>
      <c r="J5" s="74"/>
      <c r="K5" s="127"/>
    </row>
    <row r="6" s="14" customFormat="true" ht="18" hidden="false" customHeight="true" outlineLevel="0" collapsed="false">
      <c r="A6" s="71"/>
      <c r="B6" s="64" t="s">
        <v>30</v>
      </c>
      <c r="C6" s="64"/>
      <c r="D6" s="71"/>
      <c r="E6" s="73"/>
      <c r="F6" s="164" t="n">
        <v>1064</v>
      </c>
      <c r="G6" s="165"/>
      <c r="H6" s="164" t="n">
        <v>1067</v>
      </c>
      <c r="I6" s="74"/>
      <c r="J6" s="78" t="s">
        <v>36</v>
      </c>
      <c r="K6" s="166"/>
    </row>
    <row r="7" s="14" customFormat="true" ht="18" hidden="false" customHeight="true" outlineLevel="0" collapsed="false">
      <c r="A7" s="71"/>
      <c r="B7" s="64" t="s">
        <v>142</v>
      </c>
      <c r="C7" s="64"/>
      <c r="D7" s="71"/>
      <c r="E7" s="73"/>
      <c r="F7" s="167" t="n">
        <v>662</v>
      </c>
      <c r="G7" s="168"/>
      <c r="H7" s="167" t="n">
        <v>629</v>
      </c>
      <c r="I7" s="74"/>
      <c r="J7" s="78" t="n">
        <v>-0.05</v>
      </c>
      <c r="K7" s="166"/>
    </row>
    <row r="8" s="14" customFormat="true" ht="18" hidden="false" customHeight="true" outlineLevel="0" collapsed="false">
      <c r="A8" s="71"/>
      <c r="B8" s="64" t="s">
        <v>143</v>
      </c>
      <c r="C8" s="64"/>
      <c r="D8" s="71"/>
      <c r="E8" s="73"/>
      <c r="F8" s="167" t="n">
        <v>1669</v>
      </c>
      <c r="G8" s="168"/>
      <c r="H8" s="167" t="n">
        <v>728</v>
      </c>
      <c r="I8" s="74"/>
      <c r="J8" s="78" t="n">
        <v>-0.56</v>
      </c>
      <c r="K8" s="166"/>
    </row>
    <row r="9" s="14" customFormat="true" ht="18" hidden="false" customHeight="true" outlineLevel="0" collapsed="false">
      <c r="A9" s="71"/>
      <c r="B9" s="64" t="s">
        <v>31</v>
      </c>
      <c r="C9" s="64"/>
      <c r="D9" s="71"/>
      <c r="E9" s="73"/>
      <c r="F9" s="167" t="n">
        <v>1654</v>
      </c>
      <c r="G9" s="168"/>
      <c r="H9" s="167" t="n">
        <v>2057</v>
      </c>
      <c r="I9" s="74"/>
      <c r="J9" s="78" t="n">
        <v>0.24</v>
      </c>
      <c r="K9" s="166"/>
    </row>
    <row r="10" s="14" customFormat="true" ht="21" hidden="false" customHeight="true" outlineLevel="0" collapsed="false">
      <c r="A10" s="71"/>
      <c r="B10" s="64" t="s">
        <v>144</v>
      </c>
      <c r="C10" s="64"/>
      <c r="D10" s="71"/>
      <c r="E10" s="73"/>
      <c r="F10" s="169" t="n">
        <v>91</v>
      </c>
      <c r="G10" s="73"/>
      <c r="H10" s="169" t="n">
        <v>-359</v>
      </c>
      <c r="I10" s="74"/>
      <c r="J10" s="78" t="s">
        <v>8</v>
      </c>
      <c r="K10" s="166"/>
    </row>
    <row r="11" s="14" customFormat="true" ht="18" hidden="false" customHeight="true" outlineLevel="0" collapsed="false">
      <c r="A11" s="71"/>
      <c r="B11" s="170" t="s">
        <v>145</v>
      </c>
      <c r="C11" s="64"/>
      <c r="D11" s="71"/>
      <c r="E11" s="73"/>
      <c r="F11" s="88" t="n">
        <v>5140</v>
      </c>
      <c r="G11" s="73"/>
      <c r="H11" s="88" t="n">
        <v>4122</v>
      </c>
      <c r="I11" s="74"/>
      <c r="J11" s="78" t="n">
        <v>-0.2</v>
      </c>
      <c r="K11" s="166"/>
    </row>
    <row r="12" s="14" customFormat="true" ht="18" hidden="false" customHeight="true" outlineLevel="0" collapsed="false">
      <c r="A12" s="71"/>
      <c r="B12" s="170" t="s">
        <v>146</v>
      </c>
      <c r="C12" s="64"/>
      <c r="D12" s="71"/>
      <c r="E12" s="73"/>
      <c r="F12" s="171" t="n">
        <v>3768</v>
      </c>
      <c r="G12" s="168"/>
      <c r="H12" s="171" t="n">
        <v>5037</v>
      </c>
      <c r="I12" s="74"/>
      <c r="J12" s="78" t="n">
        <v>0.34</v>
      </c>
      <c r="K12" s="166"/>
    </row>
    <row r="13" customFormat="false" ht="18.75" hidden="false" customHeight="true" outlineLevel="0" collapsed="false">
      <c r="A13" s="64"/>
      <c r="B13" s="172" t="s">
        <v>9</v>
      </c>
      <c r="C13" s="173"/>
      <c r="D13" s="174"/>
      <c r="E13" s="175"/>
      <c r="F13" s="176" t="n">
        <v>8908</v>
      </c>
      <c r="G13" s="175"/>
      <c r="H13" s="176" t="n">
        <v>9159</v>
      </c>
      <c r="I13" s="175"/>
      <c r="J13" s="93" t="n">
        <v>0.03</v>
      </c>
      <c r="K13" s="177"/>
    </row>
    <row r="14" customFormat="false" ht="18" hidden="false" customHeight="true" outlineLevel="0" collapsed="false">
      <c r="A14" s="64"/>
      <c r="B14" s="178" t="s">
        <v>10</v>
      </c>
      <c r="C14" s="173"/>
      <c r="D14" s="173"/>
      <c r="E14" s="179"/>
      <c r="F14" s="180" t="n">
        <v>6225</v>
      </c>
      <c r="G14" s="175"/>
      <c r="H14" s="180" t="n">
        <v>6601</v>
      </c>
      <c r="I14" s="175"/>
      <c r="J14" s="78" t="n">
        <v>0.06</v>
      </c>
      <c r="K14" s="181"/>
    </row>
    <row r="15" customFormat="false" ht="23.25" hidden="false" customHeight="true" outlineLevel="0" collapsed="false">
      <c r="A15" s="64"/>
      <c r="B15" s="178"/>
      <c r="C15" s="178" t="s">
        <v>147</v>
      </c>
      <c r="D15" s="173"/>
      <c r="E15" s="179"/>
      <c r="F15" s="180" t="n">
        <v>82</v>
      </c>
      <c r="G15" s="175"/>
      <c r="H15" s="180" t="n">
        <v>104</v>
      </c>
      <c r="I15" s="175"/>
      <c r="J15" s="78" t="n">
        <v>0.27</v>
      </c>
      <c r="K15" s="181"/>
    </row>
    <row r="16" customFormat="false" ht="18" hidden="false" customHeight="true" outlineLevel="0" collapsed="false">
      <c r="A16" s="64"/>
      <c r="B16" s="178"/>
      <c r="C16" s="178" t="s">
        <v>40</v>
      </c>
      <c r="D16" s="173"/>
      <c r="E16" s="179"/>
      <c r="F16" s="180" t="n">
        <v>-192</v>
      </c>
      <c r="G16" s="175"/>
      <c r="H16" s="180" t="n">
        <v>-117</v>
      </c>
      <c r="I16" s="175"/>
      <c r="J16" s="78" t="n">
        <v>0.39</v>
      </c>
      <c r="K16" s="181"/>
    </row>
    <row r="17" customFormat="false" ht="18" hidden="false" customHeight="true" outlineLevel="0" collapsed="false">
      <c r="A17" s="64"/>
      <c r="B17" s="178"/>
      <c r="C17" s="182" t="s">
        <v>45</v>
      </c>
      <c r="D17" s="173"/>
      <c r="E17" s="179"/>
      <c r="F17" s="180" t="n">
        <v>-181</v>
      </c>
      <c r="G17" s="175"/>
      <c r="H17" s="180" t="n">
        <v>63</v>
      </c>
      <c r="I17" s="175"/>
      <c r="J17" s="78" t="s">
        <v>8</v>
      </c>
      <c r="K17" s="181"/>
    </row>
    <row r="18" customFormat="false" ht="18" hidden="false" customHeight="true" outlineLevel="0" collapsed="false">
      <c r="A18" s="64"/>
      <c r="B18" s="178"/>
      <c r="C18" s="178" t="s">
        <v>148</v>
      </c>
      <c r="D18" s="173"/>
      <c r="E18" s="179"/>
      <c r="F18" s="183" t="n">
        <v>10</v>
      </c>
      <c r="G18" s="175"/>
      <c r="H18" s="183" t="n">
        <v>6</v>
      </c>
      <c r="I18" s="175"/>
      <c r="J18" s="78" t="n">
        <v>-0.4</v>
      </c>
      <c r="K18" s="181"/>
    </row>
    <row r="19" customFormat="false" ht="18" hidden="false" customHeight="true" outlineLevel="0" collapsed="false">
      <c r="A19" s="64"/>
      <c r="B19" s="178" t="s">
        <v>149</v>
      </c>
      <c r="C19" s="173"/>
      <c r="D19" s="173"/>
      <c r="E19" s="179"/>
      <c r="F19" s="184" t="n">
        <v>-281</v>
      </c>
      <c r="G19" s="175"/>
      <c r="H19" s="184" t="n">
        <v>56</v>
      </c>
      <c r="I19" s="175"/>
      <c r="J19" s="78" t="s">
        <v>8</v>
      </c>
      <c r="K19" s="181"/>
    </row>
    <row r="20" customFormat="false" ht="18" hidden="false" customHeight="true" outlineLevel="0" collapsed="false">
      <c r="A20" s="64"/>
      <c r="B20" s="178" t="s">
        <v>150</v>
      </c>
      <c r="C20" s="173"/>
      <c r="D20" s="173"/>
      <c r="E20" s="179"/>
      <c r="F20" s="185" t="n">
        <v>2964</v>
      </c>
      <c r="G20" s="175"/>
      <c r="H20" s="185" t="n">
        <v>2502</v>
      </c>
      <c r="I20" s="175"/>
      <c r="J20" s="78" t="n">
        <v>-0.16</v>
      </c>
      <c r="K20" s="181"/>
    </row>
    <row r="21" customFormat="false" ht="18" hidden="false" customHeight="true" outlineLevel="0" collapsed="false">
      <c r="A21" s="64"/>
      <c r="B21" s="178" t="s">
        <v>151</v>
      </c>
      <c r="C21" s="173"/>
      <c r="D21" s="173"/>
      <c r="E21" s="179"/>
      <c r="F21" s="183" t="n">
        <v>634</v>
      </c>
      <c r="G21" s="175"/>
      <c r="H21" s="183" t="n">
        <v>586</v>
      </c>
      <c r="I21" s="175"/>
      <c r="J21" s="78" t="n">
        <v>-0.08</v>
      </c>
      <c r="K21" s="181"/>
    </row>
    <row r="22" s="187" customFormat="true" ht="18" hidden="false" customHeight="true" outlineLevel="0" collapsed="false">
      <c r="A22" s="186"/>
      <c r="B22" s="172" t="s">
        <v>17</v>
      </c>
      <c r="C22" s="174"/>
      <c r="D22" s="174"/>
      <c r="E22" s="175"/>
      <c r="F22" s="176" t="n">
        <v>2330</v>
      </c>
      <c r="G22" s="175"/>
      <c r="H22" s="176" t="n">
        <v>1916</v>
      </c>
      <c r="I22" s="175"/>
      <c r="J22" s="93" t="n">
        <v>-0.18</v>
      </c>
      <c r="K22" s="177"/>
    </row>
    <row r="23" customFormat="false" ht="18" hidden="false" customHeight="true" outlineLevel="0" collapsed="false">
      <c r="A23" s="64"/>
      <c r="B23" s="178" t="s">
        <v>120</v>
      </c>
      <c r="C23" s="173"/>
      <c r="D23" s="173"/>
      <c r="E23" s="179"/>
      <c r="F23" s="188" t="n">
        <v>10</v>
      </c>
      <c r="G23" s="175"/>
      <c r="H23" s="188" t="n">
        <v>20</v>
      </c>
      <c r="I23" s="175"/>
      <c r="J23" s="78" t="n">
        <v>1</v>
      </c>
      <c r="K23" s="181"/>
    </row>
    <row r="24" s="187" customFormat="true" ht="18" hidden="false" customHeight="true" outlineLevel="0" collapsed="false">
      <c r="A24" s="186"/>
      <c r="B24" s="172" t="s">
        <v>139</v>
      </c>
      <c r="C24" s="174"/>
      <c r="D24" s="174"/>
      <c r="E24" s="175"/>
      <c r="F24" s="189" t="n">
        <v>2320</v>
      </c>
      <c r="G24" s="175"/>
      <c r="H24" s="189" t="n">
        <v>1896</v>
      </c>
      <c r="I24" s="175"/>
      <c r="J24" s="93" t="n">
        <v>-0.18</v>
      </c>
      <c r="K24" s="177"/>
    </row>
    <row r="25" customFormat="false" ht="20.25" hidden="false" customHeight="true" outlineLevel="0" collapsed="false">
      <c r="A25" s="64"/>
      <c r="B25" s="178" t="s">
        <v>152</v>
      </c>
      <c r="C25" s="173"/>
      <c r="D25" s="173"/>
      <c r="E25" s="179"/>
      <c r="F25" s="190" t="n">
        <v>1613</v>
      </c>
      <c r="G25" s="191"/>
      <c r="H25" s="190" t="n">
        <v>1730</v>
      </c>
      <c r="I25" s="191"/>
      <c r="J25" s="78" t="n">
        <v>0.07</v>
      </c>
      <c r="K25" s="192"/>
    </row>
    <row r="26" customFormat="false" ht="18" hidden="false" customHeight="true" outlineLevel="0" collapsed="false">
      <c r="A26" s="64"/>
      <c r="B26" s="178" t="s">
        <v>153</v>
      </c>
      <c r="C26" s="173"/>
      <c r="D26" s="173"/>
      <c r="E26" s="179"/>
      <c r="F26" s="88" t="n">
        <v>1698</v>
      </c>
      <c r="G26" s="193"/>
      <c r="H26" s="88" t="n">
        <v>1753</v>
      </c>
      <c r="I26" s="191"/>
      <c r="J26" s="78" t="n">
        <v>0.03</v>
      </c>
      <c r="K26" s="192"/>
    </row>
    <row r="27" customFormat="false" ht="18" hidden="false" customHeight="true" outlineLevel="0" collapsed="false">
      <c r="A27" s="64"/>
      <c r="B27" s="178" t="s">
        <v>154</v>
      </c>
      <c r="C27" s="173"/>
      <c r="D27" s="173"/>
      <c r="E27" s="179"/>
      <c r="F27" s="194" t="n">
        <v>0.7</v>
      </c>
      <c r="G27" s="195"/>
      <c r="H27" s="194" t="n">
        <v>0.72</v>
      </c>
      <c r="I27" s="195"/>
      <c r="J27" s="196" t="n">
        <v>200</v>
      </c>
      <c r="K27" s="197"/>
    </row>
    <row r="28" customFormat="false" ht="9.75" hidden="false" customHeight="true" outlineLevel="0" collapsed="false">
      <c r="A28" s="64"/>
      <c r="B28" s="178"/>
      <c r="C28" s="173"/>
      <c r="D28" s="173"/>
      <c r="E28" s="179"/>
      <c r="F28" s="198"/>
      <c r="G28" s="195"/>
      <c r="H28" s="198"/>
      <c r="I28" s="195"/>
      <c r="J28" s="78"/>
      <c r="K28" s="199"/>
    </row>
    <row r="29" customFormat="false" ht="18" hidden="false" customHeight="true" outlineLevel="0" collapsed="false">
      <c r="A29" s="64"/>
      <c r="B29" s="186" t="s">
        <v>155</v>
      </c>
      <c r="C29" s="64"/>
      <c r="D29" s="64"/>
      <c r="E29" s="200"/>
      <c r="F29" s="201"/>
      <c r="G29" s="202"/>
      <c r="H29" s="201"/>
      <c r="I29" s="142"/>
      <c r="J29" s="64"/>
      <c r="K29" s="203"/>
    </row>
    <row r="30" s="14" customFormat="true" ht="18" hidden="false" customHeight="true" outlineLevel="0" collapsed="false">
      <c r="A30" s="71"/>
      <c r="B30" s="16"/>
      <c r="C30" s="85" t="s">
        <v>156</v>
      </c>
      <c r="D30" s="16"/>
      <c r="E30" s="73"/>
      <c r="F30" s="204" t="n">
        <v>3270</v>
      </c>
      <c r="G30" s="204"/>
      <c r="H30" s="204" t="n">
        <v>4330</v>
      </c>
      <c r="I30" s="205"/>
      <c r="J30" s="78" t="n">
        <v>0.32</v>
      </c>
      <c r="K30" s="129"/>
    </row>
    <row r="31" s="14" customFormat="true" ht="18" hidden="false" customHeight="true" outlineLevel="0" collapsed="false">
      <c r="A31" s="71"/>
      <c r="B31" s="16"/>
      <c r="C31" s="85" t="s">
        <v>157</v>
      </c>
      <c r="D31" s="16"/>
      <c r="E31" s="73"/>
      <c r="F31" s="88" t="n">
        <v>3332</v>
      </c>
      <c r="G31" s="88"/>
      <c r="H31" s="88" t="n">
        <v>3944</v>
      </c>
      <c r="I31" s="74"/>
      <c r="J31" s="78" t="n">
        <v>0.18</v>
      </c>
      <c r="K31" s="129"/>
    </row>
    <row r="32" s="14" customFormat="true" ht="18" hidden="false" customHeight="true" outlineLevel="0" collapsed="false">
      <c r="A32" s="71"/>
      <c r="B32" s="71"/>
      <c r="C32" s="85" t="s">
        <v>158</v>
      </c>
      <c r="D32" s="71"/>
      <c r="E32" s="74"/>
      <c r="F32" s="88" t="n">
        <v>2306</v>
      </c>
      <c r="G32" s="206"/>
      <c r="H32" s="88" t="n">
        <v>885</v>
      </c>
      <c r="I32" s="74"/>
      <c r="J32" s="78" t="n">
        <v>-0.62</v>
      </c>
      <c r="K32" s="129"/>
    </row>
    <row r="33" s="14" customFormat="true" ht="25.5" hidden="false" customHeight="true" outlineLevel="0" collapsed="false">
      <c r="A33" s="71"/>
      <c r="B33" s="207" t="s">
        <v>9</v>
      </c>
      <c r="C33" s="64"/>
      <c r="D33" s="64"/>
      <c r="E33" s="25"/>
      <c r="F33" s="208" t="n">
        <v>8908</v>
      </c>
      <c r="G33" s="202"/>
      <c r="H33" s="208" t="n">
        <v>9159</v>
      </c>
      <c r="I33" s="142"/>
      <c r="J33" s="78" t="n">
        <v>0.03</v>
      </c>
      <c r="K33" s="181"/>
    </row>
    <row r="34" s="14" customFormat="true" ht="12" hidden="false" customHeight="true" outlineLevel="0" collapsed="false">
      <c r="A34" s="71"/>
      <c r="B34" s="71"/>
      <c r="C34" s="64"/>
      <c r="D34" s="64"/>
      <c r="E34" s="25"/>
      <c r="F34" s="82"/>
      <c r="G34" s="202"/>
      <c r="H34" s="82"/>
      <c r="I34" s="142"/>
      <c r="J34" s="78"/>
      <c r="K34" s="181"/>
    </row>
    <row r="35" customFormat="false" ht="18" hidden="false" customHeight="true" outlineLevel="0" collapsed="false">
      <c r="A35" s="64"/>
      <c r="B35" s="186" t="s">
        <v>159</v>
      </c>
      <c r="C35" s="64"/>
      <c r="D35" s="64"/>
      <c r="E35" s="200"/>
      <c r="F35" s="201"/>
      <c r="G35" s="202"/>
      <c r="H35" s="201"/>
      <c r="I35" s="142"/>
      <c r="J35" s="64"/>
      <c r="K35" s="203"/>
    </row>
    <row r="36" s="14" customFormat="true" ht="18" hidden="false" customHeight="true" outlineLevel="0" collapsed="false">
      <c r="A36" s="71"/>
      <c r="B36" s="16"/>
      <c r="C36" s="85" t="s">
        <v>160</v>
      </c>
      <c r="D36" s="16"/>
      <c r="E36" s="73"/>
      <c r="F36" s="204" t="n">
        <v>3278</v>
      </c>
      <c r="G36" s="204"/>
      <c r="H36" s="204" t="n">
        <v>2444</v>
      </c>
      <c r="I36" s="205"/>
      <c r="J36" s="78" t="n">
        <v>-0.25</v>
      </c>
      <c r="K36" s="129"/>
    </row>
    <row r="37" s="14" customFormat="true" ht="18" hidden="false" customHeight="true" outlineLevel="0" collapsed="false">
      <c r="A37" s="71"/>
      <c r="B37" s="16"/>
      <c r="C37" s="85" t="s">
        <v>161</v>
      </c>
      <c r="D37" s="16"/>
      <c r="E37" s="73"/>
      <c r="F37" s="88" t="n">
        <v>2705</v>
      </c>
      <c r="G37" s="88"/>
      <c r="H37" s="88" t="n">
        <v>3293</v>
      </c>
      <c r="I37" s="74"/>
      <c r="J37" s="78" t="n">
        <v>0.22</v>
      </c>
      <c r="K37" s="129"/>
    </row>
    <row r="38" s="14" customFormat="true" ht="18" hidden="false" customHeight="true" outlineLevel="0" collapsed="false">
      <c r="A38" s="71"/>
      <c r="B38" s="16"/>
      <c r="C38" s="85" t="s">
        <v>162</v>
      </c>
      <c r="D38" s="16"/>
      <c r="E38" s="73"/>
      <c r="F38" s="88" t="n">
        <v>1113</v>
      </c>
      <c r="G38" s="88"/>
      <c r="H38" s="88" t="n">
        <v>1320</v>
      </c>
      <c r="I38" s="74"/>
      <c r="J38" s="78" t="n">
        <v>0.19</v>
      </c>
      <c r="K38" s="129"/>
    </row>
    <row r="39" s="14" customFormat="true" ht="18" hidden="false" customHeight="true" outlineLevel="0" collapsed="false">
      <c r="A39" s="71"/>
      <c r="B39" s="71"/>
      <c r="C39" s="85" t="s">
        <v>163</v>
      </c>
      <c r="D39" s="71"/>
      <c r="E39" s="74"/>
      <c r="F39" s="88" t="n">
        <v>1812</v>
      </c>
      <c r="G39" s="206"/>
      <c r="H39" s="88" t="n">
        <v>2102</v>
      </c>
      <c r="I39" s="74"/>
      <c r="J39" s="78" t="n">
        <v>0.16</v>
      </c>
      <c r="K39" s="129"/>
    </row>
    <row r="40" s="14" customFormat="true" ht="21" hidden="false" customHeight="true" outlineLevel="0" collapsed="false">
      <c r="A40" s="71"/>
      <c r="B40" s="207" t="s">
        <v>9</v>
      </c>
      <c r="C40" s="64"/>
      <c r="D40" s="64"/>
      <c r="E40" s="25"/>
      <c r="F40" s="208" t="n">
        <v>8908</v>
      </c>
      <c r="G40" s="202"/>
      <c r="H40" s="208" t="n">
        <v>9159</v>
      </c>
      <c r="I40" s="142"/>
      <c r="J40" s="78" t="n">
        <v>0.03</v>
      </c>
      <c r="K40" s="181"/>
    </row>
    <row r="41" s="14" customFormat="true" ht="12.75" hidden="false" customHeight="true" outlineLevel="0" collapsed="false">
      <c r="A41" s="71"/>
      <c r="B41" s="71"/>
      <c r="C41" s="64"/>
      <c r="D41" s="64"/>
      <c r="E41" s="25"/>
      <c r="F41" s="82"/>
      <c r="G41" s="202"/>
      <c r="H41" s="82"/>
      <c r="I41" s="142"/>
      <c r="J41" s="78"/>
      <c r="K41" s="181"/>
    </row>
    <row r="42" customFormat="false" ht="18" hidden="false" customHeight="true" outlineLevel="0" collapsed="false">
      <c r="A42" s="64"/>
      <c r="B42" s="186" t="s">
        <v>164</v>
      </c>
      <c r="C42" s="64"/>
      <c r="D42" s="64"/>
      <c r="E42" s="200"/>
      <c r="F42" s="201"/>
      <c r="G42" s="202"/>
      <c r="H42" s="201"/>
      <c r="I42" s="142"/>
      <c r="J42" s="64"/>
      <c r="K42" s="203"/>
    </row>
    <row r="43" s="14" customFormat="true" ht="18" hidden="false" customHeight="true" outlineLevel="0" collapsed="false">
      <c r="A43" s="71"/>
      <c r="B43" s="16"/>
      <c r="C43" s="85" t="s">
        <v>160</v>
      </c>
      <c r="D43" s="16"/>
      <c r="E43" s="73"/>
      <c r="F43" s="204" t="n">
        <v>768</v>
      </c>
      <c r="G43" s="204"/>
      <c r="H43" s="204" t="n">
        <v>-90</v>
      </c>
      <c r="I43" s="205"/>
      <c r="J43" s="78" t="s">
        <v>8</v>
      </c>
      <c r="K43" s="129"/>
    </row>
    <row r="44" s="14" customFormat="true" ht="18" hidden="false" customHeight="true" outlineLevel="0" collapsed="false">
      <c r="A44" s="71"/>
      <c r="B44" s="16"/>
      <c r="C44" s="85" t="s">
        <v>161</v>
      </c>
      <c r="D44" s="16"/>
      <c r="E44" s="73"/>
      <c r="F44" s="88" t="n">
        <v>672</v>
      </c>
      <c r="G44" s="88"/>
      <c r="H44" s="88" t="n">
        <v>857</v>
      </c>
      <c r="I44" s="74"/>
      <c r="J44" s="78" t="n">
        <v>0.28</v>
      </c>
      <c r="K44" s="129"/>
    </row>
    <row r="45" s="14" customFormat="true" ht="18" hidden="false" customHeight="true" outlineLevel="0" collapsed="false">
      <c r="A45" s="71"/>
      <c r="B45" s="16"/>
      <c r="C45" s="85" t="s">
        <v>162</v>
      </c>
      <c r="D45" s="16"/>
      <c r="E45" s="73"/>
      <c r="F45" s="88" t="n">
        <v>473</v>
      </c>
      <c r="G45" s="88"/>
      <c r="H45" s="88" t="n">
        <v>508</v>
      </c>
      <c r="I45" s="74"/>
      <c r="J45" s="78" t="n">
        <v>0.07</v>
      </c>
      <c r="K45" s="129"/>
    </row>
    <row r="46" s="14" customFormat="true" ht="18" hidden="false" customHeight="true" outlineLevel="0" collapsed="false">
      <c r="A46" s="71"/>
      <c r="B46" s="71"/>
      <c r="C46" s="85" t="s">
        <v>163</v>
      </c>
      <c r="D46" s="71"/>
      <c r="E46" s="74"/>
      <c r="F46" s="88" t="n">
        <v>417</v>
      </c>
      <c r="G46" s="206"/>
      <c r="H46" s="88" t="n">
        <v>641</v>
      </c>
      <c r="I46" s="74"/>
      <c r="J46" s="78" t="n">
        <v>0.54</v>
      </c>
      <c r="K46" s="129"/>
    </row>
    <row r="47" s="14" customFormat="true" ht="18" hidden="false" customHeight="true" outlineLevel="0" collapsed="false">
      <c r="A47" s="71"/>
      <c r="B47" s="186" t="s">
        <v>54</v>
      </c>
      <c r="C47" s="64"/>
      <c r="D47" s="64"/>
      <c r="E47" s="25"/>
      <c r="F47" s="208" t="n">
        <v>2330</v>
      </c>
      <c r="G47" s="202"/>
      <c r="H47" s="208" t="n">
        <v>1916</v>
      </c>
      <c r="I47" s="142"/>
      <c r="J47" s="78" t="n">
        <v>-0.18</v>
      </c>
      <c r="K47" s="181"/>
    </row>
    <row r="48" s="14" customFormat="true" ht="15" hidden="false" customHeight="true" outlineLevel="0" collapsed="false">
      <c r="A48" s="71"/>
      <c r="B48" s="71"/>
      <c r="C48" s="64"/>
      <c r="D48" s="64"/>
      <c r="E48" s="25"/>
      <c r="F48" s="82"/>
      <c r="G48" s="202"/>
      <c r="H48" s="82"/>
      <c r="I48" s="142"/>
      <c r="J48" s="78"/>
      <c r="K48" s="181"/>
    </row>
    <row r="49" customFormat="false" ht="18" hidden="false" customHeight="true" outlineLevel="0" collapsed="false">
      <c r="A49" s="64"/>
      <c r="B49" s="186" t="s">
        <v>165</v>
      </c>
      <c r="C49" s="64"/>
      <c r="D49" s="64"/>
      <c r="E49" s="200"/>
      <c r="F49" s="201"/>
      <c r="G49" s="202"/>
      <c r="H49" s="201"/>
      <c r="I49" s="142"/>
      <c r="J49" s="64"/>
      <c r="K49" s="203"/>
    </row>
    <row r="50" s="14" customFormat="true" ht="18" hidden="false" customHeight="true" outlineLevel="0" collapsed="false">
      <c r="A50" s="71"/>
      <c r="B50" s="16"/>
      <c r="C50" s="85" t="s">
        <v>156</v>
      </c>
      <c r="D50" s="16"/>
      <c r="E50" s="73"/>
      <c r="F50" s="209" t="n">
        <v>77</v>
      </c>
      <c r="G50" s="209"/>
      <c r="H50" s="209" t="n">
        <v>79</v>
      </c>
      <c r="I50" s="210"/>
      <c r="J50" s="78" t="n">
        <v>0.03</v>
      </c>
      <c r="K50" s="129"/>
    </row>
    <row r="51" s="14" customFormat="true" ht="18" hidden="false" customHeight="true" outlineLevel="0" collapsed="false">
      <c r="A51" s="71"/>
      <c r="B51" s="16"/>
      <c r="C51" s="85" t="s">
        <v>158</v>
      </c>
      <c r="D51" s="16"/>
      <c r="E51" s="73"/>
      <c r="F51" s="88" t="n">
        <v>195</v>
      </c>
      <c r="G51" s="88"/>
      <c r="H51" s="88" t="n">
        <v>194</v>
      </c>
      <c r="I51" s="74"/>
      <c r="J51" s="78" t="n">
        <v>-0.01</v>
      </c>
      <c r="K51" s="129"/>
    </row>
    <row r="52" s="14" customFormat="true" ht="18" hidden="false" customHeight="true" outlineLevel="0" collapsed="false">
      <c r="A52" s="71"/>
      <c r="B52" s="71"/>
      <c r="C52" s="85" t="s">
        <v>157</v>
      </c>
      <c r="D52" s="71"/>
      <c r="E52" s="74"/>
      <c r="F52" s="88" t="n">
        <v>17</v>
      </c>
      <c r="G52" s="206"/>
      <c r="H52" s="88" t="n">
        <v>12</v>
      </c>
      <c r="I52" s="74"/>
      <c r="J52" s="78" t="n">
        <v>-0.29</v>
      </c>
      <c r="K52" s="129"/>
    </row>
    <row r="53" s="14" customFormat="true" ht="18" hidden="false" customHeight="true" outlineLevel="0" collapsed="false">
      <c r="A53" s="71"/>
      <c r="B53" s="71"/>
      <c r="C53" s="64"/>
      <c r="D53" s="64" t="s">
        <v>166</v>
      </c>
      <c r="E53" s="25"/>
      <c r="F53" s="208" t="n">
        <v>289</v>
      </c>
      <c r="G53" s="202"/>
      <c r="H53" s="208" t="n">
        <v>285</v>
      </c>
      <c r="I53" s="142"/>
      <c r="J53" s="78" t="n">
        <v>-0.01</v>
      </c>
      <c r="K53" s="181"/>
    </row>
    <row r="54" s="14" customFormat="true" ht="16.5" hidden="false" customHeight="true" outlineLevel="0" collapsed="false">
      <c r="A54" s="71"/>
      <c r="B54" s="71"/>
      <c r="C54" s="64"/>
      <c r="D54" s="64"/>
      <c r="E54" s="25"/>
      <c r="F54" s="82"/>
      <c r="G54" s="202"/>
      <c r="H54" s="82"/>
      <c r="I54" s="142"/>
      <c r="J54" s="78"/>
      <c r="K54" s="181"/>
    </row>
    <row r="55" customFormat="false" ht="18" hidden="false" customHeight="true" outlineLevel="0" collapsed="false">
      <c r="A55" s="64"/>
      <c r="B55" s="186" t="s">
        <v>167</v>
      </c>
      <c r="C55" s="64"/>
      <c r="D55" s="64"/>
      <c r="E55" s="200"/>
      <c r="F55" s="201"/>
      <c r="G55" s="202"/>
      <c r="H55" s="201"/>
      <c r="I55" s="142"/>
      <c r="J55" s="64"/>
      <c r="K55" s="203"/>
    </row>
    <row r="56" s="14" customFormat="true" ht="18" hidden="false" customHeight="true" outlineLevel="0" collapsed="false">
      <c r="A56" s="71"/>
      <c r="B56" s="16"/>
      <c r="C56" s="85"/>
      <c r="D56" s="16" t="s">
        <v>168</v>
      </c>
      <c r="E56" s="73"/>
      <c r="F56" s="209" t="n">
        <v>689</v>
      </c>
      <c r="G56" s="209"/>
      <c r="H56" s="209" t="n">
        <v>694</v>
      </c>
      <c r="I56" s="210"/>
      <c r="J56" s="78" t="n">
        <v>0.01</v>
      </c>
      <c r="K56" s="129"/>
    </row>
    <row r="57" s="14" customFormat="true" ht="18" hidden="false" customHeight="true" outlineLevel="0" collapsed="false">
      <c r="A57" s="71"/>
      <c r="B57" s="16"/>
      <c r="C57" s="85"/>
      <c r="D57" s="16" t="s">
        <v>169</v>
      </c>
      <c r="E57" s="73"/>
      <c r="F57" s="169" t="n">
        <v>140</v>
      </c>
      <c r="G57" s="88"/>
      <c r="H57" s="169" t="n">
        <v>129</v>
      </c>
      <c r="I57" s="74"/>
      <c r="J57" s="78" t="n">
        <v>-0.08</v>
      </c>
      <c r="K57" s="129"/>
    </row>
    <row r="58" s="14" customFormat="true" ht="18" hidden="false" customHeight="true" outlineLevel="0" collapsed="false">
      <c r="A58" s="71"/>
      <c r="B58" s="16"/>
      <c r="C58" s="85" t="s">
        <v>156</v>
      </c>
      <c r="D58" s="16"/>
      <c r="E58" s="73"/>
      <c r="F58" s="88" t="n">
        <v>829</v>
      </c>
      <c r="G58" s="88"/>
      <c r="H58" s="88" t="n">
        <v>823</v>
      </c>
      <c r="I58" s="74"/>
      <c r="J58" s="78" t="n">
        <v>-0.01</v>
      </c>
      <c r="K58" s="129"/>
    </row>
    <row r="59" s="14" customFormat="true" ht="18" hidden="false" customHeight="true" outlineLevel="0" collapsed="false">
      <c r="A59" s="71"/>
      <c r="B59" s="71"/>
      <c r="C59" s="85" t="s">
        <v>170</v>
      </c>
      <c r="D59" s="71"/>
      <c r="E59" s="74"/>
      <c r="F59" s="88" t="n">
        <v>23</v>
      </c>
      <c r="G59" s="206"/>
      <c r="H59" s="88" t="n">
        <v>25</v>
      </c>
      <c r="I59" s="74"/>
      <c r="J59" s="78" t="n">
        <v>0.09</v>
      </c>
      <c r="K59" s="129"/>
    </row>
    <row r="60" s="14" customFormat="true" ht="18" hidden="false" customHeight="true" outlineLevel="0" collapsed="false">
      <c r="A60" s="71"/>
      <c r="B60" s="71"/>
      <c r="C60" s="64"/>
      <c r="D60" s="186" t="s">
        <v>166</v>
      </c>
      <c r="E60" s="25"/>
      <c r="F60" s="208" t="n">
        <v>852</v>
      </c>
      <c r="G60" s="202"/>
      <c r="H60" s="208" t="n">
        <v>848</v>
      </c>
      <c r="I60" s="142"/>
      <c r="J60" s="78" t="s">
        <v>36</v>
      </c>
      <c r="K60" s="181"/>
    </row>
    <row r="61" s="14" customFormat="true" ht="15" hidden="false" customHeight="true" outlineLevel="0" collapsed="false">
      <c r="A61" s="71"/>
      <c r="B61" s="71"/>
      <c r="C61" s="64"/>
      <c r="D61" s="64"/>
      <c r="E61" s="25"/>
      <c r="F61" s="82"/>
      <c r="G61" s="202"/>
      <c r="H61" s="82"/>
      <c r="I61" s="142"/>
      <c r="J61" s="78"/>
      <c r="K61" s="181"/>
    </row>
    <row r="62" customFormat="false" ht="18" hidden="false" customHeight="true" outlineLevel="0" collapsed="false">
      <c r="A62" s="64"/>
      <c r="B62" s="186" t="s">
        <v>171</v>
      </c>
      <c r="C62" s="64"/>
      <c r="D62" s="64"/>
      <c r="E62" s="200"/>
      <c r="F62" s="201"/>
      <c r="G62" s="202"/>
      <c r="H62" s="201"/>
      <c r="I62" s="142"/>
      <c r="J62" s="64"/>
      <c r="K62" s="203"/>
    </row>
    <row r="63" s="14" customFormat="true" ht="18" hidden="false" customHeight="true" outlineLevel="0" collapsed="false">
      <c r="A63" s="71"/>
      <c r="B63" s="16"/>
      <c r="C63" s="71" t="s">
        <v>172</v>
      </c>
      <c r="D63" s="16"/>
      <c r="E63" s="73"/>
      <c r="F63" s="211" t="n">
        <v>23.7</v>
      </c>
      <c r="G63" s="211"/>
      <c r="H63" s="211" t="n">
        <v>22.2</v>
      </c>
      <c r="I63" s="212"/>
      <c r="J63" s="78" t="n">
        <v>-0.06</v>
      </c>
      <c r="K63" s="129"/>
    </row>
    <row r="64" s="14" customFormat="true" ht="18" hidden="false" customHeight="true" outlineLevel="0" collapsed="false">
      <c r="A64" s="71"/>
      <c r="B64" s="16"/>
      <c r="C64" s="64" t="s">
        <v>173</v>
      </c>
      <c r="D64" s="16"/>
      <c r="E64" s="40"/>
      <c r="F64" s="211" t="n">
        <v>78.2</v>
      </c>
      <c r="G64" s="211"/>
      <c r="H64" s="211" t="n">
        <v>81.1</v>
      </c>
      <c r="I64" s="74"/>
      <c r="J64" s="78" t="n">
        <v>0.04</v>
      </c>
      <c r="K64" s="129"/>
    </row>
    <row r="65" s="14" customFormat="true" ht="18" hidden="false" customHeight="true" outlineLevel="0" collapsed="false">
      <c r="A65" s="71"/>
      <c r="B65" s="16"/>
      <c r="C65" s="64" t="s">
        <v>174</v>
      </c>
      <c r="D65" s="16"/>
      <c r="E65" s="73"/>
      <c r="F65" s="213" t="n">
        <v>37.8</v>
      </c>
      <c r="G65" s="213"/>
      <c r="H65" s="213" t="n">
        <v>38.2</v>
      </c>
      <c r="I65" s="74"/>
      <c r="J65" s="78" t="n">
        <v>0.01</v>
      </c>
      <c r="K65" s="129"/>
    </row>
    <row r="66" s="14" customFormat="true" ht="18" hidden="false" customHeight="true" outlineLevel="0" collapsed="false">
      <c r="A66" s="71"/>
      <c r="B66" s="71"/>
      <c r="C66" s="64" t="s">
        <v>175</v>
      </c>
      <c r="D66" s="71"/>
      <c r="E66" s="212"/>
      <c r="F66" s="211" t="n">
        <v>11.4</v>
      </c>
      <c r="G66" s="211"/>
      <c r="H66" s="211" t="n">
        <v>15.4</v>
      </c>
      <c r="I66" s="74"/>
      <c r="J66" s="78" t="n">
        <v>0.35</v>
      </c>
      <c r="K66" s="129"/>
    </row>
    <row r="67" s="14" customFormat="true" ht="18" hidden="false" customHeight="true" outlineLevel="0" collapsed="false">
      <c r="A67" s="71"/>
      <c r="B67" s="71"/>
      <c r="C67" s="64"/>
      <c r="D67" s="64"/>
      <c r="E67" s="25"/>
      <c r="F67" s="82"/>
      <c r="G67" s="202"/>
      <c r="H67" s="82"/>
      <c r="I67" s="142"/>
      <c r="J67" s="78"/>
      <c r="K67" s="181"/>
    </row>
    <row r="68" s="14" customFormat="true" ht="9.75" hidden="false" customHeight="true" outlineLevel="0" collapsed="false">
      <c r="A68" s="71"/>
      <c r="B68" s="58"/>
      <c r="C68" s="59"/>
      <c r="D68" s="60"/>
      <c r="E68" s="60"/>
      <c r="F68" s="108"/>
      <c r="G68" s="108"/>
      <c r="H68" s="108"/>
      <c r="I68" s="108"/>
      <c r="J68" s="109"/>
      <c r="K68" s="214"/>
    </row>
    <row r="69" s="14" customFormat="true" ht="18" hidden="false" customHeight="true" outlineLevel="0" collapsed="false">
      <c r="A69" s="71"/>
      <c r="B69" s="71"/>
      <c r="C69" s="64"/>
      <c r="D69" s="64"/>
      <c r="E69" s="25"/>
      <c r="F69" s="82"/>
      <c r="G69" s="202"/>
      <c r="H69" s="82"/>
      <c r="I69" s="142"/>
      <c r="J69" s="78"/>
      <c r="K69" s="215"/>
    </row>
    <row r="70" s="14" customFormat="true" ht="18" hidden="false" customHeight="true" outlineLevel="0" collapsed="false">
      <c r="A70" s="71"/>
      <c r="B70" s="64" t="s">
        <v>61</v>
      </c>
      <c r="C70" s="71" t="s">
        <v>176</v>
      </c>
      <c r="D70" s="64"/>
      <c r="E70" s="25"/>
      <c r="F70" s="82"/>
      <c r="G70" s="202"/>
      <c r="H70" s="82"/>
      <c r="I70" s="142"/>
      <c r="J70" s="78"/>
      <c r="K70" s="215"/>
    </row>
    <row r="71" customFormat="false" ht="20.25" hidden="false" customHeight="true" outlineLevel="0" collapsed="false">
      <c r="A71" s="64"/>
      <c r="B71" s="64" t="s">
        <v>71</v>
      </c>
      <c r="C71" s="71"/>
      <c r="D71" s="64"/>
      <c r="E71" s="64"/>
      <c r="F71" s="216"/>
      <c r="G71" s="216"/>
      <c r="H71" s="216"/>
      <c r="I71" s="216"/>
      <c r="J71" s="217"/>
      <c r="K71" s="218"/>
    </row>
    <row r="72" customFormat="false" ht="18" hidden="false" customHeight="true" outlineLevel="0" collapsed="false">
      <c r="A72" s="64"/>
      <c r="B72" s="64" t="s">
        <v>72</v>
      </c>
      <c r="C72" s="64"/>
      <c r="D72" s="64"/>
      <c r="E72" s="64"/>
      <c r="F72" s="216"/>
      <c r="G72" s="216"/>
      <c r="H72" s="216"/>
      <c r="I72" s="216"/>
      <c r="J72" s="217"/>
      <c r="K72" s="218"/>
    </row>
    <row r="73" customFormat="false" ht="18" hidden="false" customHeight="true" outlineLevel="0" collapsed="false">
      <c r="A73" s="64"/>
      <c r="B73" s="64"/>
      <c r="C73" s="64"/>
      <c r="D73" s="64"/>
      <c r="E73" s="64"/>
      <c r="F73" s="216"/>
      <c r="G73" s="216"/>
      <c r="H73" s="216"/>
      <c r="I73" s="216"/>
      <c r="J73" s="217"/>
      <c r="K73" s="218"/>
    </row>
    <row r="74" customFormat="false" ht="18" hidden="false" customHeight="true" outlineLevel="0" collapsed="false">
      <c r="A74" s="64"/>
      <c r="B74" s="64"/>
      <c r="C74" s="64"/>
      <c r="D74" s="64"/>
      <c r="E74" s="64"/>
      <c r="F74" s="219"/>
      <c r="G74" s="216"/>
      <c r="H74" s="219"/>
      <c r="I74" s="216"/>
      <c r="J74" s="217"/>
      <c r="K74" s="218"/>
    </row>
    <row r="75" customFormat="false" ht="18" hidden="false" customHeight="true" outlineLevel="0" collapsed="false">
      <c r="A75" s="64"/>
      <c r="B75" s="64"/>
      <c r="C75" s="64"/>
      <c r="D75" s="64"/>
      <c r="E75" s="64"/>
      <c r="F75" s="219"/>
      <c r="G75" s="216"/>
      <c r="H75" s="219"/>
      <c r="I75" s="216"/>
      <c r="J75" s="217"/>
      <c r="K75" s="218"/>
    </row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3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F5" activeCellId="0" sqref="F5:J5 F5:J5"/>
    </sheetView>
  </sheetViews>
  <sheetFormatPr defaultColWidth="9.32421875" defaultRowHeight="17" zeroHeight="false" outlineLevelRow="0" outlineLevelCol="0"/>
  <cols>
    <col collapsed="false" customWidth="true" hidden="false" outlineLevel="0" max="3" min="1" style="14" width="4.82"/>
    <col collapsed="false" customWidth="true" hidden="false" outlineLevel="0" max="4" min="4" style="14" width="106.15"/>
    <col collapsed="false" customWidth="true" hidden="false" outlineLevel="0" max="5" min="5" style="14" width="2.82"/>
    <col collapsed="false" customWidth="true" hidden="false" outlineLevel="0" max="6" min="6" style="14" width="15.82"/>
    <col collapsed="false" customWidth="true" hidden="false" outlineLevel="0" max="7" min="7" style="18" width="2.82"/>
    <col collapsed="false" customWidth="true" hidden="false" outlineLevel="0" max="8" min="8" style="14" width="15.82"/>
    <col collapsed="false" customWidth="true" hidden="false" outlineLevel="0" max="9" min="9" style="14" width="2.32"/>
    <col collapsed="false" customWidth="true" hidden="false" outlineLevel="0" max="10" min="10" style="14" width="26.82"/>
    <col collapsed="false" customWidth="true" hidden="false" outlineLevel="0" max="11" min="11" style="14" width="2.82"/>
    <col collapsed="false" customWidth="false" hidden="false" outlineLevel="0" max="257" min="12" style="14" width="9.32"/>
  </cols>
  <sheetData>
    <row r="1" customFormat="false" ht="18" hidden="false" customHeight="true" outlineLevel="0" collapsed="false">
      <c r="E1" s="155"/>
      <c r="F1" s="154"/>
      <c r="G1" s="156"/>
      <c r="H1" s="156"/>
      <c r="I1" s="156"/>
      <c r="J1" s="116"/>
    </row>
    <row r="2" customFormat="false" ht="18" hidden="false" customHeight="true" outlineLevel="0" collapsed="false">
      <c r="A2" s="116"/>
      <c r="B2" s="220" t="s">
        <v>177</v>
      </c>
      <c r="C2" s="116"/>
      <c r="D2" s="117"/>
      <c r="E2" s="155"/>
      <c r="F2" s="158"/>
      <c r="G2" s="158"/>
      <c r="H2" s="160"/>
      <c r="I2" s="160"/>
      <c r="J2" s="73"/>
      <c r="K2" s="73"/>
    </row>
    <row r="3" customFormat="false" ht="18" hidden="false" customHeight="true" outlineLevel="0" collapsed="false">
      <c r="B3" s="29" t="s">
        <v>178</v>
      </c>
      <c r="C3" s="67"/>
      <c r="D3" s="67"/>
      <c r="E3" s="221"/>
      <c r="F3" s="158"/>
      <c r="G3" s="158"/>
      <c r="H3" s="160"/>
      <c r="I3" s="160"/>
      <c r="J3" s="73"/>
      <c r="K3" s="71"/>
    </row>
    <row r="4" customFormat="false" ht="18" hidden="false" customHeight="true" outlineLevel="0" collapsed="false">
      <c r="A4" s="71"/>
      <c r="B4" s="21" t="s">
        <v>141</v>
      </c>
      <c r="C4" s="70"/>
      <c r="D4" s="70"/>
      <c r="E4" s="222"/>
      <c r="F4" s="223"/>
      <c r="G4" s="224"/>
      <c r="H4" s="223"/>
      <c r="I4" s="30"/>
      <c r="J4" s="73"/>
      <c r="K4" s="71"/>
    </row>
    <row r="5" customFormat="false" ht="49.95" hidden="false" customHeight="false" outlineLevel="0" collapsed="false">
      <c r="A5" s="71"/>
      <c r="B5" s="71"/>
      <c r="C5" s="71"/>
      <c r="D5" s="71"/>
      <c r="E5" s="73"/>
      <c r="F5" s="26" t="s">
        <v>2</v>
      </c>
      <c r="G5" s="26"/>
      <c r="H5" s="26" t="s">
        <v>1</v>
      </c>
      <c r="I5" s="30"/>
      <c r="J5" s="28" t="s">
        <v>3</v>
      </c>
      <c r="K5" s="71"/>
    </row>
    <row r="6" customFormat="false" ht="18" hidden="false" customHeight="true" outlineLevel="0" collapsed="false">
      <c r="A6" s="133" t="s">
        <v>156</v>
      </c>
      <c r="B6" s="71"/>
      <c r="C6" s="71"/>
      <c r="D6" s="71"/>
      <c r="E6" s="73"/>
      <c r="F6" s="74"/>
      <c r="G6" s="73"/>
      <c r="H6" s="74"/>
      <c r="I6" s="74"/>
      <c r="J6" s="74"/>
      <c r="K6" s="71"/>
    </row>
    <row r="7" s="152" customFormat="true" ht="18" hidden="false" customHeight="true" outlineLevel="0" collapsed="false">
      <c r="A7" s="71"/>
      <c r="B7" s="39" t="s">
        <v>179</v>
      </c>
      <c r="C7" s="71"/>
      <c r="D7" s="71"/>
      <c r="E7" s="71"/>
      <c r="F7" s="209" t="n">
        <v>1694</v>
      </c>
      <c r="G7" s="82"/>
      <c r="H7" s="209" t="n">
        <v>2825</v>
      </c>
      <c r="I7" s="225"/>
      <c r="J7" s="78" t="n">
        <v>0.67</v>
      </c>
      <c r="K7" s="71"/>
    </row>
    <row r="8" s="152" customFormat="true" ht="18" hidden="false" customHeight="true" outlineLevel="0" collapsed="false">
      <c r="A8" s="71"/>
      <c r="B8" s="39" t="s">
        <v>180</v>
      </c>
      <c r="C8" s="71"/>
      <c r="D8" s="71"/>
      <c r="E8" s="71"/>
      <c r="F8" s="226" t="n">
        <v>1576</v>
      </c>
      <c r="G8" s="225"/>
      <c r="H8" s="226" t="n">
        <v>1505</v>
      </c>
      <c r="I8" s="225"/>
      <c r="J8" s="78" t="n">
        <v>-0.05</v>
      </c>
      <c r="K8" s="71"/>
    </row>
    <row r="9" s="152" customFormat="true" ht="18" hidden="false" customHeight="true" outlineLevel="0" collapsed="false">
      <c r="A9" s="133" t="s">
        <v>181</v>
      </c>
      <c r="B9" s="133"/>
      <c r="C9" s="133"/>
      <c r="D9" s="133"/>
      <c r="E9" s="227"/>
      <c r="F9" s="228" t="n">
        <v>3270</v>
      </c>
      <c r="G9" s="229"/>
      <c r="H9" s="228" t="n">
        <v>4330</v>
      </c>
      <c r="I9" s="230"/>
      <c r="J9" s="93" t="n">
        <v>0.32</v>
      </c>
      <c r="K9" s="133"/>
    </row>
    <row r="10" s="152" customFormat="true" ht="18" hidden="false" customHeight="true" outlineLevel="0" collapsed="false">
      <c r="A10" s="71"/>
      <c r="B10" s="133"/>
      <c r="C10" s="133"/>
      <c r="D10" s="81"/>
      <c r="E10" s="227"/>
      <c r="F10" s="231"/>
      <c r="G10" s="229"/>
      <c r="H10" s="231"/>
      <c r="I10" s="230"/>
      <c r="J10" s="93"/>
      <c r="K10" s="81"/>
    </row>
    <row r="11" s="152" customFormat="true" ht="18" hidden="false" customHeight="true" outlineLevel="0" collapsed="false">
      <c r="A11" s="71"/>
      <c r="B11" s="39" t="s">
        <v>179</v>
      </c>
      <c r="C11" s="71"/>
      <c r="D11" s="71"/>
      <c r="E11" s="71"/>
      <c r="F11" s="209" t="n">
        <v>1455</v>
      </c>
      <c r="G11" s="82"/>
      <c r="H11" s="209" t="n">
        <v>2344</v>
      </c>
      <c r="I11" s="225"/>
      <c r="J11" s="78" t="n">
        <v>0.61</v>
      </c>
      <c r="K11" s="71"/>
    </row>
    <row r="12" s="152" customFormat="true" ht="18" hidden="false" customHeight="true" outlineLevel="0" collapsed="false">
      <c r="A12" s="71"/>
      <c r="B12" s="39" t="s">
        <v>180</v>
      </c>
      <c r="C12" s="71"/>
      <c r="D12" s="71"/>
      <c r="E12" s="71"/>
      <c r="F12" s="226" t="n">
        <v>960</v>
      </c>
      <c r="G12" s="225"/>
      <c r="H12" s="226" t="n">
        <v>946</v>
      </c>
      <c r="I12" s="225"/>
      <c r="J12" s="78" t="n">
        <v>-0.01</v>
      </c>
      <c r="K12" s="71"/>
    </row>
    <row r="13" s="152" customFormat="true" ht="18" hidden="false" customHeight="true" outlineLevel="0" collapsed="false">
      <c r="A13" s="71"/>
      <c r="B13" s="29" t="s">
        <v>182</v>
      </c>
      <c r="C13" s="133"/>
      <c r="D13" s="133"/>
      <c r="E13" s="227"/>
      <c r="F13" s="228" t="n">
        <v>2415</v>
      </c>
      <c r="G13" s="229"/>
      <c r="H13" s="228" t="n">
        <v>3290</v>
      </c>
      <c r="I13" s="230"/>
      <c r="J13" s="93" t="n">
        <v>0.36</v>
      </c>
      <c r="K13" s="133"/>
    </row>
    <row r="14" s="152" customFormat="true" ht="18" hidden="false" customHeight="true" outlineLevel="0" collapsed="false">
      <c r="A14" s="71"/>
      <c r="B14" s="133"/>
      <c r="C14" s="133"/>
      <c r="D14" s="81"/>
      <c r="E14" s="227"/>
      <c r="F14" s="231"/>
      <c r="G14" s="229"/>
      <c r="H14" s="231"/>
      <c r="I14" s="230"/>
      <c r="J14" s="93"/>
      <c r="K14" s="81"/>
    </row>
    <row r="15" s="152" customFormat="true" ht="18" hidden="false" customHeight="true" outlineLevel="0" collapsed="false">
      <c r="A15" s="71"/>
      <c r="B15" s="39" t="s">
        <v>179</v>
      </c>
      <c r="C15" s="71"/>
      <c r="D15" s="71"/>
      <c r="E15" s="71"/>
      <c r="F15" s="209" t="n">
        <v>239</v>
      </c>
      <c r="G15" s="82"/>
      <c r="H15" s="209" t="n">
        <v>481</v>
      </c>
      <c r="I15" s="225"/>
      <c r="J15" s="78" t="s">
        <v>8</v>
      </c>
      <c r="K15" s="71"/>
    </row>
    <row r="16" s="152" customFormat="true" ht="18" hidden="false" customHeight="true" outlineLevel="0" collapsed="false">
      <c r="A16" s="71"/>
      <c r="B16" s="39" t="s">
        <v>180</v>
      </c>
      <c r="C16" s="71"/>
      <c r="D16" s="71"/>
      <c r="E16" s="71"/>
      <c r="F16" s="226" t="n">
        <v>616</v>
      </c>
      <c r="G16" s="225"/>
      <c r="H16" s="226" t="n">
        <v>559</v>
      </c>
      <c r="I16" s="225"/>
      <c r="J16" s="78" t="n">
        <v>-0.09</v>
      </c>
      <c r="K16" s="71"/>
    </row>
    <row r="17" s="152" customFormat="true" ht="18" hidden="false" customHeight="true" outlineLevel="0" collapsed="false">
      <c r="A17" s="71"/>
      <c r="B17" s="29" t="s">
        <v>169</v>
      </c>
      <c r="C17" s="133"/>
      <c r="D17" s="133"/>
      <c r="E17" s="227"/>
      <c r="F17" s="228" t="n">
        <v>855</v>
      </c>
      <c r="G17" s="229"/>
      <c r="H17" s="228" t="n">
        <v>1040</v>
      </c>
      <c r="I17" s="230"/>
      <c r="J17" s="93" t="n">
        <v>0.22</v>
      </c>
      <c r="K17" s="133"/>
    </row>
    <row r="18" customFormat="false" ht="12" hidden="false" customHeight="true" outlineLevel="0" collapsed="false">
      <c r="A18" s="232"/>
      <c r="B18" s="232"/>
      <c r="C18" s="232"/>
      <c r="D18" s="232"/>
      <c r="E18" s="232"/>
      <c r="F18" s="232"/>
      <c r="G18" s="232"/>
      <c r="H18" s="232"/>
      <c r="I18" s="233"/>
      <c r="J18" s="233"/>
      <c r="K18" s="71"/>
    </row>
    <row r="19" s="152" customFormat="true" ht="28.5" hidden="false" customHeight="true" outlineLevel="0" collapsed="false">
      <c r="A19" s="133" t="s">
        <v>157</v>
      </c>
      <c r="B19" s="133"/>
      <c r="C19" s="71"/>
      <c r="D19" s="234"/>
      <c r="E19" s="215"/>
      <c r="F19" s="226"/>
      <c r="G19" s="225"/>
      <c r="H19" s="226"/>
      <c r="I19" s="225"/>
      <c r="J19" s="78"/>
      <c r="K19" s="71"/>
    </row>
    <row r="20" s="152" customFormat="true" ht="18" hidden="false" customHeight="true" outlineLevel="0" collapsed="false">
      <c r="A20" s="71"/>
      <c r="B20" s="39" t="s">
        <v>179</v>
      </c>
      <c r="C20" s="71"/>
      <c r="D20" s="71"/>
      <c r="E20" s="71"/>
      <c r="F20" s="209" t="n">
        <v>1239</v>
      </c>
      <c r="G20" s="82"/>
      <c r="H20" s="209" t="n">
        <v>1489</v>
      </c>
      <c r="I20" s="82"/>
      <c r="J20" s="78" t="n">
        <v>0.2</v>
      </c>
      <c r="K20" s="71"/>
    </row>
    <row r="21" s="152" customFormat="true" ht="18" hidden="false" customHeight="true" outlineLevel="0" collapsed="false">
      <c r="A21" s="71"/>
      <c r="B21" s="39" t="s">
        <v>180</v>
      </c>
      <c r="C21" s="71"/>
      <c r="D21" s="71"/>
      <c r="E21" s="71"/>
      <c r="F21" s="226" t="n">
        <v>2093</v>
      </c>
      <c r="G21" s="225"/>
      <c r="H21" s="226" t="n">
        <v>2455</v>
      </c>
      <c r="I21" s="225"/>
      <c r="J21" s="78" t="n">
        <v>0.17</v>
      </c>
      <c r="K21" s="71"/>
    </row>
    <row r="22" s="152" customFormat="true" ht="18" hidden="false" customHeight="true" outlineLevel="0" collapsed="false">
      <c r="A22" s="133" t="s">
        <v>183</v>
      </c>
      <c r="B22" s="133"/>
      <c r="C22" s="133"/>
      <c r="D22" s="133"/>
      <c r="E22" s="227"/>
      <c r="F22" s="228" t="n">
        <v>3332</v>
      </c>
      <c r="G22" s="229"/>
      <c r="H22" s="228" t="n">
        <v>3944</v>
      </c>
      <c r="I22" s="230"/>
      <c r="J22" s="93" t="n">
        <v>0.18</v>
      </c>
      <c r="K22" s="133"/>
    </row>
    <row r="23" s="152" customFormat="true" ht="10.5" hidden="false" customHeight="true" outlineLevel="0" collapsed="false">
      <c r="A23" s="71"/>
      <c r="B23" s="133"/>
      <c r="C23" s="133"/>
      <c r="D23" s="81"/>
      <c r="E23" s="227"/>
      <c r="F23" s="235"/>
      <c r="G23" s="229"/>
      <c r="H23" s="235"/>
      <c r="I23" s="230"/>
      <c r="J23" s="93"/>
      <c r="K23" s="81"/>
    </row>
    <row r="24" s="152" customFormat="true" ht="18" hidden="false" customHeight="true" outlineLevel="0" collapsed="false">
      <c r="A24" s="71"/>
      <c r="B24" s="39" t="s">
        <v>184</v>
      </c>
      <c r="C24" s="71"/>
      <c r="D24" s="71"/>
      <c r="E24" s="71"/>
      <c r="F24" s="209" t="n">
        <v>2414</v>
      </c>
      <c r="G24" s="82"/>
      <c r="H24" s="209" t="n">
        <v>3155</v>
      </c>
      <c r="I24" s="82"/>
      <c r="J24" s="78" t="n">
        <v>0.31</v>
      </c>
      <c r="K24" s="71"/>
    </row>
    <row r="25" s="152" customFormat="true" ht="18" hidden="false" customHeight="true" outlineLevel="0" collapsed="false">
      <c r="A25" s="71"/>
      <c r="B25" s="39" t="s">
        <v>185</v>
      </c>
      <c r="C25" s="71"/>
      <c r="D25" s="71"/>
      <c r="E25" s="71"/>
      <c r="F25" s="226" t="n">
        <v>918</v>
      </c>
      <c r="G25" s="225"/>
      <c r="H25" s="226" t="n">
        <v>789</v>
      </c>
      <c r="I25" s="225"/>
      <c r="J25" s="78" t="n">
        <v>-0.14</v>
      </c>
      <c r="K25" s="71"/>
    </row>
    <row r="26" s="152" customFormat="true" ht="18" hidden="false" customHeight="true" outlineLevel="0" collapsed="false">
      <c r="A26" s="71"/>
      <c r="B26" s="133" t="s">
        <v>186</v>
      </c>
      <c r="C26" s="133"/>
      <c r="D26" s="133"/>
      <c r="E26" s="227"/>
      <c r="F26" s="228" t="n">
        <v>3332</v>
      </c>
      <c r="G26" s="229"/>
      <c r="H26" s="228" t="n">
        <v>3944</v>
      </c>
      <c r="I26" s="230"/>
      <c r="J26" s="93" t="n">
        <v>0.18</v>
      </c>
      <c r="K26" s="133"/>
    </row>
    <row r="27" s="152" customFormat="true" ht="7.5" hidden="false" customHeight="true" outlineLevel="0" collapsed="false">
      <c r="A27" s="71"/>
      <c r="B27" s="133"/>
      <c r="C27" s="133"/>
      <c r="D27" s="81"/>
      <c r="E27" s="227"/>
      <c r="F27" s="235"/>
      <c r="G27" s="229"/>
      <c r="H27" s="235"/>
      <c r="I27" s="230"/>
      <c r="J27" s="93"/>
      <c r="K27" s="81"/>
    </row>
    <row r="28" s="152" customFormat="true" ht="18" hidden="false" customHeight="true" outlineLevel="0" collapsed="false">
      <c r="A28" s="71"/>
      <c r="B28" s="39"/>
      <c r="C28" s="39" t="s">
        <v>187</v>
      </c>
      <c r="D28" s="71"/>
      <c r="E28" s="71"/>
      <c r="F28" s="209" t="n">
        <v>1710</v>
      </c>
      <c r="G28" s="82"/>
      <c r="H28" s="209" t="n">
        <v>2788</v>
      </c>
      <c r="I28" s="82"/>
      <c r="J28" s="78" t="n">
        <v>0.63</v>
      </c>
      <c r="K28" s="71"/>
    </row>
    <row r="29" s="152" customFormat="true" ht="18" hidden="false" customHeight="true" outlineLevel="0" collapsed="false">
      <c r="A29" s="71"/>
      <c r="B29" s="39"/>
      <c r="C29" s="39" t="s">
        <v>188</v>
      </c>
      <c r="D29" s="71"/>
      <c r="E29" s="71"/>
      <c r="F29" s="226" t="n">
        <v>704</v>
      </c>
      <c r="G29" s="225"/>
      <c r="H29" s="226" t="n">
        <v>367</v>
      </c>
      <c r="I29" s="225"/>
      <c r="J29" s="78" t="n">
        <v>-0.48</v>
      </c>
      <c r="K29" s="71"/>
    </row>
    <row r="30" s="152" customFormat="true" ht="18" hidden="false" customHeight="true" outlineLevel="0" collapsed="false">
      <c r="A30" s="71"/>
      <c r="B30" s="133"/>
      <c r="C30" s="133" t="s">
        <v>189</v>
      </c>
      <c r="D30" s="133"/>
      <c r="E30" s="227"/>
      <c r="F30" s="228" t="n">
        <v>2414</v>
      </c>
      <c r="G30" s="229"/>
      <c r="H30" s="228" t="n">
        <v>3155</v>
      </c>
      <c r="I30" s="230"/>
      <c r="J30" s="93" t="n">
        <v>0.31</v>
      </c>
      <c r="K30" s="133"/>
    </row>
    <row r="31" customFormat="false" ht="18" hidden="false" customHeight="true" outlineLevel="0" collapsed="false">
      <c r="A31" s="232"/>
      <c r="B31" s="232"/>
      <c r="C31" s="232"/>
      <c r="D31" s="232"/>
      <c r="E31" s="232"/>
      <c r="F31" s="232"/>
      <c r="G31" s="232"/>
      <c r="H31" s="232"/>
      <c r="I31" s="233"/>
      <c r="J31" s="233"/>
      <c r="K31" s="71"/>
    </row>
    <row r="32" s="152" customFormat="true" ht="24.75" hidden="false" customHeight="true" outlineLevel="0" collapsed="false">
      <c r="A32" s="133" t="s">
        <v>158</v>
      </c>
      <c r="B32" s="236"/>
      <c r="C32" s="71"/>
      <c r="D32" s="71"/>
      <c r="E32" s="73"/>
      <c r="F32" s="74"/>
      <c r="G32" s="225"/>
      <c r="H32" s="74"/>
      <c r="I32" s="225"/>
      <c r="J32" s="237"/>
      <c r="K32" s="73"/>
    </row>
    <row r="33" s="152" customFormat="true" ht="18" hidden="false" customHeight="true" outlineLevel="0" collapsed="false">
      <c r="A33" s="71"/>
      <c r="B33" s="39" t="s">
        <v>179</v>
      </c>
      <c r="C33" s="71"/>
      <c r="D33" s="71"/>
      <c r="E33" s="71"/>
      <c r="F33" s="209" t="n">
        <v>835</v>
      </c>
      <c r="G33" s="82"/>
      <c r="H33" s="209" t="n">
        <v>723</v>
      </c>
      <c r="I33" s="225"/>
      <c r="J33" s="78" t="n">
        <v>-0.13</v>
      </c>
      <c r="K33" s="71"/>
    </row>
    <row r="34" s="152" customFormat="true" ht="18" hidden="false" customHeight="true" outlineLevel="0" collapsed="false">
      <c r="A34" s="71"/>
      <c r="B34" s="39" t="s">
        <v>180</v>
      </c>
      <c r="C34" s="71"/>
      <c r="D34" s="71"/>
      <c r="E34" s="71"/>
      <c r="F34" s="226" t="n">
        <v>1471</v>
      </c>
      <c r="G34" s="225"/>
      <c r="H34" s="226" t="n">
        <v>162</v>
      </c>
      <c r="I34" s="225"/>
      <c r="J34" s="78" t="n">
        <v>-0.89</v>
      </c>
      <c r="K34" s="71"/>
    </row>
    <row r="35" s="152" customFormat="true" ht="18" hidden="false" customHeight="true" outlineLevel="0" collapsed="false">
      <c r="A35" s="133" t="s">
        <v>190</v>
      </c>
      <c r="B35" s="133"/>
      <c r="C35" s="133"/>
      <c r="D35" s="133"/>
      <c r="E35" s="227"/>
      <c r="F35" s="228" t="n">
        <v>2306</v>
      </c>
      <c r="G35" s="229"/>
      <c r="H35" s="228" t="n">
        <v>885</v>
      </c>
      <c r="I35" s="230"/>
      <c r="J35" s="93" t="n">
        <v>-0.62</v>
      </c>
      <c r="K35" s="133"/>
    </row>
    <row r="36" s="152" customFormat="true" ht="25.5" hidden="false" customHeight="true" outlineLevel="0" collapsed="false">
      <c r="A36" s="71"/>
      <c r="B36" s="71" t="s">
        <v>191</v>
      </c>
      <c r="C36" s="71"/>
      <c r="D36" s="71"/>
      <c r="E36" s="71"/>
      <c r="F36" s="74"/>
      <c r="G36" s="225"/>
      <c r="H36" s="74"/>
      <c r="I36" s="225"/>
      <c r="J36" s="74"/>
      <c r="K36" s="73"/>
    </row>
    <row r="37" s="152" customFormat="true" ht="18" hidden="false" customHeight="true" outlineLevel="0" collapsed="false">
      <c r="A37" s="71"/>
      <c r="B37" s="39"/>
      <c r="C37" s="71" t="s">
        <v>192</v>
      </c>
      <c r="D37" s="71"/>
      <c r="E37" s="71"/>
      <c r="F37" s="209" t="n">
        <v>571</v>
      </c>
      <c r="G37" s="225"/>
      <c r="H37" s="209" t="n">
        <v>269</v>
      </c>
      <c r="I37" s="225"/>
      <c r="J37" s="78" t="n">
        <v>-0.53</v>
      </c>
      <c r="K37" s="71"/>
    </row>
    <row r="38" s="152" customFormat="true" ht="18" hidden="false" customHeight="true" outlineLevel="0" collapsed="false">
      <c r="A38" s="71"/>
      <c r="B38" s="39"/>
      <c r="C38" s="71" t="s">
        <v>193</v>
      </c>
      <c r="D38" s="71"/>
      <c r="E38" s="71"/>
      <c r="F38" s="226" t="n">
        <v>462</v>
      </c>
      <c r="G38" s="225"/>
      <c r="H38" s="226" t="n">
        <v>149</v>
      </c>
      <c r="I38" s="225"/>
      <c r="J38" s="78" t="n">
        <v>-0.68</v>
      </c>
      <c r="K38" s="71"/>
    </row>
    <row r="39" s="152" customFormat="true" ht="18" hidden="false" customHeight="true" outlineLevel="0" collapsed="false">
      <c r="A39" s="71"/>
      <c r="B39" s="39"/>
      <c r="C39" s="71" t="s">
        <v>194</v>
      </c>
      <c r="D39" s="71"/>
      <c r="E39" s="71"/>
      <c r="F39" s="238" t="n">
        <v>520</v>
      </c>
      <c r="G39" s="225"/>
      <c r="H39" s="238" t="n">
        <v>227</v>
      </c>
      <c r="I39" s="225"/>
      <c r="J39" s="78" t="n">
        <v>-0.56</v>
      </c>
      <c r="K39" s="71"/>
    </row>
    <row r="40" s="152" customFormat="true" ht="18" hidden="false" customHeight="true" outlineLevel="0" collapsed="false">
      <c r="A40" s="71"/>
      <c r="B40" s="71" t="s">
        <v>195</v>
      </c>
      <c r="C40" s="71"/>
      <c r="D40" s="71"/>
      <c r="E40" s="71"/>
      <c r="F40" s="226" t="n">
        <v>1553</v>
      </c>
      <c r="G40" s="225"/>
      <c r="H40" s="226" t="n">
        <v>645</v>
      </c>
      <c r="I40" s="225"/>
      <c r="J40" s="78" t="n">
        <v>-0.58</v>
      </c>
      <c r="K40" s="71"/>
    </row>
    <row r="41" s="152" customFormat="true" ht="20.25" hidden="false" customHeight="true" outlineLevel="0" collapsed="false">
      <c r="A41" s="71"/>
      <c r="B41" s="39" t="s">
        <v>196</v>
      </c>
      <c r="C41" s="71"/>
      <c r="D41" s="71"/>
      <c r="E41" s="71"/>
      <c r="F41" s="226" t="n">
        <v>732</v>
      </c>
      <c r="G41" s="225"/>
      <c r="H41" s="226" t="n">
        <v>540</v>
      </c>
      <c r="I41" s="225"/>
      <c r="J41" s="78" t="n">
        <v>-0.26</v>
      </c>
      <c r="K41" s="71"/>
    </row>
    <row r="42" s="152" customFormat="true" ht="20.25" hidden="false" customHeight="true" outlineLevel="0" collapsed="false">
      <c r="A42" s="71"/>
      <c r="B42" s="133" t="s">
        <v>197</v>
      </c>
      <c r="C42" s="133"/>
      <c r="D42" s="133"/>
      <c r="E42" s="227"/>
      <c r="F42" s="235" t="n">
        <v>2285</v>
      </c>
      <c r="G42" s="229"/>
      <c r="H42" s="235" t="n">
        <v>1185</v>
      </c>
      <c r="I42" s="230"/>
      <c r="J42" s="93" t="n">
        <v>-0.48</v>
      </c>
      <c r="K42" s="81"/>
    </row>
    <row r="43" customFormat="false" ht="18" hidden="false" customHeight="true" outlineLevel="0" collapsed="false">
      <c r="A43" s="71"/>
      <c r="B43" s="71"/>
      <c r="C43" s="85" t="s">
        <v>198</v>
      </c>
      <c r="D43" s="71"/>
      <c r="E43" s="74"/>
      <c r="F43" s="88" t="n">
        <v>21</v>
      </c>
      <c r="G43" s="206"/>
      <c r="H43" s="88" t="n">
        <v>-300</v>
      </c>
      <c r="I43" s="74"/>
      <c r="J43" s="78" t="s">
        <v>8</v>
      </c>
      <c r="K43" s="71"/>
    </row>
    <row r="44" customFormat="false" ht="18" hidden="false" customHeight="true" outlineLevel="0" collapsed="false">
      <c r="A44" s="71"/>
      <c r="B44" s="133" t="s">
        <v>199</v>
      </c>
      <c r="C44" s="124"/>
      <c r="D44" s="124"/>
      <c r="E44" s="81"/>
      <c r="F44" s="97" t="n">
        <v>2306</v>
      </c>
      <c r="G44" s="80"/>
      <c r="H44" s="97" t="n">
        <v>885</v>
      </c>
      <c r="I44" s="239"/>
      <c r="J44" s="93" t="n">
        <v>-0.62</v>
      </c>
      <c r="K44" s="133"/>
    </row>
    <row r="45" customFormat="false" ht="18" hidden="false" customHeight="true" outlineLevel="0" collapsed="false">
      <c r="A45" s="232"/>
      <c r="B45" s="232"/>
      <c r="C45" s="232"/>
      <c r="D45" s="232"/>
      <c r="E45" s="232"/>
      <c r="F45" s="232"/>
      <c r="G45" s="232"/>
      <c r="H45" s="232"/>
      <c r="I45" s="233"/>
      <c r="J45" s="233"/>
      <c r="K45" s="71"/>
    </row>
    <row r="46" s="152" customFormat="true" ht="34.5" hidden="false" customHeight="true" outlineLevel="0" collapsed="false">
      <c r="A46" s="71"/>
      <c r="B46" s="207" t="s">
        <v>200</v>
      </c>
      <c r="C46" s="133"/>
      <c r="D46" s="133"/>
      <c r="E46" s="227"/>
      <c r="F46" s="231" t="n">
        <v>8908</v>
      </c>
      <c r="G46" s="229"/>
      <c r="H46" s="231" t="n">
        <v>9159</v>
      </c>
      <c r="I46" s="230"/>
      <c r="J46" s="93" t="n">
        <v>0.03</v>
      </c>
      <c r="K46" s="133"/>
    </row>
    <row r="47" s="152" customFormat="true" ht="18" hidden="false" customHeight="true" outlineLevel="0" collapsed="false">
      <c r="A47" s="71"/>
      <c r="B47" s="240" t="s">
        <v>201</v>
      </c>
      <c r="C47" s="240"/>
      <c r="D47" s="207"/>
      <c r="E47" s="241"/>
      <c r="F47" s="242" t="n">
        <v>159</v>
      </c>
      <c r="G47" s="243"/>
      <c r="H47" s="242" t="n">
        <v>103</v>
      </c>
      <c r="I47" s="225"/>
      <c r="J47" s="78" t="n">
        <v>-0.35</v>
      </c>
      <c r="K47" s="71"/>
    </row>
    <row r="48" s="152" customFormat="true" ht="11.25" hidden="false" customHeight="true" outlineLevel="0" collapsed="false">
      <c r="A48" s="71"/>
      <c r="B48" s="207"/>
      <c r="C48" s="240"/>
      <c r="D48" s="207"/>
      <c r="E48" s="241"/>
      <c r="F48" s="244"/>
      <c r="G48" s="245"/>
      <c r="H48" s="244"/>
      <c r="I48" s="225"/>
      <c r="J48" s="78"/>
      <c r="K48" s="71"/>
    </row>
    <row r="49" customFormat="false" ht="18" hidden="false" customHeight="true" outlineLevel="0" collapsed="false">
      <c r="A49" s="71"/>
      <c r="B49" s="207" t="s">
        <v>202</v>
      </c>
      <c r="C49" s="207"/>
      <c r="D49" s="246"/>
      <c r="E49" s="247"/>
      <c r="F49" s="248" t="n">
        <v>9067</v>
      </c>
      <c r="G49" s="249"/>
      <c r="H49" s="248" t="n">
        <v>9262</v>
      </c>
      <c r="I49" s="230"/>
      <c r="J49" s="93" t="n">
        <v>0.02</v>
      </c>
      <c r="K49" s="133"/>
    </row>
    <row r="50" customFormat="false" ht="9.75" hidden="false" customHeight="true" outlineLevel="0" collapsed="false">
      <c r="A50" s="71"/>
      <c r="B50" s="250"/>
      <c r="C50" s="250"/>
      <c r="D50" s="251"/>
      <c r="E50" s="252"/>
      <c r="F50" s="204"/>
      <c r="G50" s="253"/>
      <c r="H50" s="204"/>
      <c r="I50" s="225"/>
      <c r="J50" s="78"/>
      <c r="K50" s="71"/>
    </row>
    <row r="51" customFormat="false" ht="10.5" hidden="false" customHeight="true" outlineLevel="0" collapsed="false">
      <c r="A51" s="71"/>
      <c r="B51" s="58"/>
      <c r="C51" s="59"/>
      <c r="D51" s="60"/>
      <c r="E51" s="60"/>
      <c r="F51" s="108"/>
      <c r="G51" s="108"/>
      <c r="H51" s="108"/>
      <c r="I51" s="108"/>
      <c r="J51" s="109"/>
      <c r="K51" s="71"/>
    </row>
    <row r="52" customFormat="false" ht="10.5" hidden="false" customHeight="true" outlineLevel="0" collapsed="false">
      <c r="A52" s="71"/>
      <c r="B52" s="254"/>
      <c r="C52" s="71"/>
      <c r="D52" s="255"/>
      <c r="E52" s="73"/>
      <c r="F52" s="204"/>
      <c r="G52" s="225"/>
      <c r="H52" s="204"/>
      <c r="I52" s="225"/>
      <c r="J52" s="78"/>
      <c r="K52" s="71"/>
    </row>
    <row r="53" customFormat="false" ht="18" hidden="false" customHeight="true" outlineLevel="0" collapsed="false">
      <c r="A53" s="71"/>
      <c r="B53" s="256" t="s">
        <v>61</v>
      </c>
      <c r="C53" s="71" t="s">
        <v>203</v>
      </c>
      <c r="D53" s="255"/>
      <c r="E53" s="73"/>
      <c r="F53" s="204"/>
      <c r="G53" s="225"/>
      <c r="H53" s="204"/>
      <c r="I53" s="225"/>
      <c r="J53" s="78"/>
      <c r="K53" s="71"/>
    </row>
    <row r="54" customFormat="false" ht="18" hidden="false" customHeight="true" outlineLevel="0" collapsed="false">
      <c r="A54" s="71"/>
      <c r="B54" s="256"/>
      <c r="C54" s="71" t="s">
        <v>204</v>
      </c>
      <c r="D54" s="255"/>
      <c r="E54" s="73"/>
      <c r="F54" s="204"/>
      <c r="G54" s="225"/>
      <c r="H54" s="204"/>
      <c r="I54" s="225"/>
      <c r="J54" s="78"/>
      <c r="K54" s="71"/>
    </row>
    <row r="55" customFormat="false" ht="18" hidden="false" customHeight="true" outlineLevel="0" collapsed="false">
      <c r="A55" s="71"/>
      <c r="B55" s="256"/>
      <c r="C55" s="71" t="s">
        <v>205</v>
      </c>
      <c r="D55" s="255"/>
      <c r="E55" s="73"/>
      <c r="F55" s="204"/>
      <c r="G55" s="225"/>
      <c r="H55" s="204"/>
      <c r="I55" s="225"/>
      <c r="J55" s="78"/>
      <c r="K55" s="71"/>
    </row>
    <row r="56" customFormat="false" ht="18" hidden="false" customHeight="true" outlineLevel="0" collapsed="false">
      <c r="A56" s="71"/>
      <c r="B56" s="256"/>
      <c r="C56" s="71" t="s">
        <v>206</v>
      </c>
      <c r="D56" s="255"/>
      <c r="E56" s="73"/>
      <c r="F56" s="204"/>
      <c r="G56" s="225"/>
      <c r="H56" s="204"/>
      <c r="I56" s="225"/>
      <c r="J56" s="78"/>
      <c r="K56" s="71"/>
    </row>
    <row r="57" customFormat="false" ht="18" hidden="false" customHeight="true" outlineLevel="0" collapsed="false">
      <c r="A57" s="71"/>
      <c r="B57" s="256"/>
      <c r="C57" s="71" t="s">
        <v>207</v>
      </c>
      <c r="D57" s="255"/>
      <c r="E57" s="73"/>
      <c r="F57" s="204"/>
      <c r="G57" s="225"/>
      <c r="H57" s="204"/>
      <c r="I57" s="225"/>
      <c r="J57" s="78"/>
      <c r="K57" s="71"/>
    </row>
    <row r="58" customFormat="false" ht="18" hidden="false" customHeight="true" outlineLevel="0" collapsed="false">
      <c r="A58" s="71"/>
      <c r="B58" s="256" t="s">
        <v>63</v>
      </c>
      <c r="C58" s="71" t="s">
        <v>208</v>
      </c>
      <c r="D58" s="255"/>
      <c r="E58" s="73"/>
      <c r="F58" s="204"/>
      <c r="G58" s="225"/>
      <c r="H58" s="204"/>
      <c r="I58" s="225"/>
      <c r="J58" s="78"/>
      <c r="K58" s="71"/>
    </row>
    <row r="59" customFormat="false" ht="18" hidden="false" customHeight="true" outlineLevel="0" collapsed="false">
      <c r="A59" s="71"/>
      <c r="B59" s="254"/>
      <c r="C59" s="71"/>
      <c r="D59" s="255"/>
      <c r="E59" s="73"/>
      <c r="F59" s="204"/>
      <c r="G59" s="225"/>
      <c r="H59" s="204"/>
      <c r="I59" s="225"/>
      <c r="J59" s="78"/>
      <c r="K59" s="71"/>
    </row>
    <row r="60" customFormat="false" ht="18" hidden="false" customHeight="true" outlineLevel="0" collapsed="false">
      <c r="A60" s="71"/>
      <c r="B60" s="71" t="s">
        <v>71</v>
      </c>
      <c r="C60" s="71"/>
      <c r="D60" s="71"/>
      <c r="E60" s="73"/>
      <c r="F60" s="204"/>
      <c r="G60" s="225"/>
      <c r="H60" s="204"/>
      <c r="I60" s="225"/>
      <c r="J60" s="78"/>
      <c r="K60" s="71"/>
    </row>
    <row r="61" customFormat="false" ht="18" hidden="false" customHeight="true" outlineLevel="0" collapsed="false">
      <c r="A61" s="71"/>
      <c r="B61" s="71" t="s">
        <v>72</v>
      </c>
      <c r="C61" s="257"/>
      <c r="D61" s="257"/>
      <c r="E61" s="257"/>
      <c r="F61" s="258"/>
      <c r="G61" s="259"/>
      <c r="H61" s="258"/>
      <c r="I61" s="258"/>
      <c r="J61" s="260"/>
      <c r="K61" s="71"/>
    </row>
    <row r="62" customFormat="false" ht="18" hidden="false" customHeight="true" outlineLevel="0" collapsed="false">
      <c r="A62" s="71"/>
      <c r="B62" s="71"/>
      <c r="C62" s="257"/>
      <c r="D62" s="257"/>
      <c r="E62" s="257"/>
      <c r="F62" s="258"/>
      <c r="G62" s="259"/>
      <c r="H62" s="258"/>
      <c r="I62" s="258"/>
      <c r="J62" s="260"/>
      <c r="K62" s="71"/>
    </row>
    <row r="63" customFormat="false" ht="18" hidden="false" customHeight="true" outlineLevel="0" collapsed="false">
      <c r="A63" s="71"/>
      <c r="B63" s="71"/>
      <c r="C63" s="257"/>
      <c r="D63" s="257"/>
      <c r="E63" s="257"/>
      <c r="F63" s="258"/>
      <c r="G63" s="259"/>
      <c r="H63" s="258"/>
      <c r="I63" s="258"/>
      <c r="J63" s="260"/>
      <c r="K63" s="71"/>
    </row>
    <row r="64" customFormat="false" ht="18" hidden="false" customHeight="true" outlineLevel="0" collapsed="false">
      <c r="A64" s="71"/>
      <c r="B64" s="71"/>
      <c r="C64" s="257"/>
      <c r="D64" s="257"/>
      <c r="E64" s="257"/>
      <c r="F64" s="258"/>
      <c r="G64" s="259"/>
      <c r="H64" s="258"/>
      <c r="I64" s="258"/>
      <c r="J64" s="260"/>
      <c r="K64" s="71"/>
    </row>
    <row r="65" customFormat="false" ht="18" hidden="false" customHeight="true" outlineLevel="0" collapsed="false">
      <c r="A65" s="71"/>
      <c r="B65" s="71"/>
      <c r="C65" s="257"/>
      <c r="D65" s="257"/>
      <c r="E65" s="257"/>
      <c r="F65" s="258"/>
      <c r="G65" s="259"/>
      <c r="H65" s="258"/>
      <c r="I65" s="258"/>
      <c r="J65" s="260"/>
      <c r="K65" s="71"/>
    </row>
    <row r="66" customFormat="false" ht="18" hidden="false" customHeight="true" outlineLevel="0" collapsed="false">
      <c r="A66" s="71"/>
      <c r="B66" s="71"/>
      <c r="C66" s="257"/>
      <c r="D66" s="257"/>
      <c r="E66" s="257"/>
      <c r="F66" s="258"/>
      <c r="G66" s="259"/>
      <c r="H66" s="258"/>
      <c r="I66" s="258"/>
      <c r="J66" s="260"/>
      <c r="K66" s="71"/>
    </row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J5" activeCellId="0" sqref="J5 J5"/>
    </sheetView>
  </sheetViews>
  <sheetFormatPr defaultColWidth="9.32421875" defaultRowHeight="17" zeroHeight="false" outlineLevelRow="0" outlineLevelCol="0"/>
  <cols>
    <col collapsed="false" customWidth="true" hidden="false" outlineLevel="0" max="3" min="1" style="152" width="4.82"/>
    <col collapsed="false" customWidth="true" hidden="false" outlineLevel="0" max="4" min="4" style="152" width="94.15"/>
    <col collapsed="false" customWidth="true" hidden="false" outlineLevel="0" max="5" min="5" style="152" width="6.32"/>
    <col collapsed="false" customWidth="true" hidden="false" outlineLevel="0" max="6" min="6" style="152" width="18.82"/>
    <col collapsed="false" customWidth="true" hidden="false" outlineLevel="0" max="7" min="7" style="153" width="2.82"/>
    <col collapsed="false" customWidth="true" hidden="false" outlineLevel="0" max="8" min="8" style="153" width="14.99"/>
    <col collapsed="false" customWidth="true" hidden="false" outlineLevel="0" max="9" min="9" style="153" width="2.82"/>
    <col collapsed="false" customWidth="true" hidden="false" outlineLevel="0" max="10" min="10" style="152" width="29.49"/>
    <col collapsed="false" customWidth="true" hidden="false" outlineLevel="0" max="11" min="11" style="152" width="6.32"/>
    <col collapsed="false" customWidth="false" hidden="false" outlineLevel="0" max="257" min="12" style="152" width="9.32"/>
  </cols>
  <sheetData>
    <row r="1" customFormat="false" ht="18" hidden="false" customHeight="true" outlineLevel="0" collapsed="false">
      <c r="D1" s="154"/>
      <c r="E1" s="155"/>
      <c r="F1" s="154"/>
      <c r="G1" s="156"/>
      <c r="H1" s="156"/>
      <c r="I1" s="156"/>
      <c r="J1" s="116"/>
      <c r="K1" s="116"/>
      <c r="L1" s="14"/>
    </row>
    <row r="2" customFormat="false" ht="10.5" hidden="false" customHeight="true" outlineLevel="0" collapsed="false">
      <c r="B2" s="19"/>
      <c r="C2" s="157"/>
      <c r="D2" s="158"/>
      <c r="E2" s="155"/>
      <c r="F2" s="158"/>
      <c r="G2" s="158"/>
      <c r="H2" s="158"/>
      <c r="I2" s="158"/>
      <c r="J2" s="261"/>
      <c r="K2" s="261"/>
      <c r="L2" s="14"/>
    </row>
    <row r="3" customFormat="false" ht="24" hidden="false" customHeight="true" outlineLevel="0" collapsed="false">
      <c r="B3" s="262" t="s">
        <v>209</v>
      </c>
      <c r="C3" s="157"/>
      <c r="D3" s="158"/>
      <c r="E3" s="155"/>
      <c r="F3" s="158"/>
      <c r="G3" s="158"/>
      <c r="H3" s="160"/>
      <c r="I3" s="160"/>
      <c r="J3" s="122"/>
      <c r="K3" s="122"/>
      <c r="L3" s="71"/>
    </row>
    <row r="4" customFormat="false" ht="18" hidden="false" customHeight="true" outlineLevel="0" collapsed="false">
      <c r="A4" s="64"/>
      <c r="B4" s="21" t="s">
        <v>141</v>
      </c>
      <c r="C4" s="263"/>
      <c r="D4" s="160"/>
      <c r="E4" s="255"/>
      <c r="F4" s="73"/>
      <c r="G4" s="30"/>
      <c r="H4" s="73"/>
      <c r="I4" s="73"/>
      <c r="J4" s="73"/>
      <c r="K4" s="73"/>
      <c r="L4" s="71"/>
    </row>
    <row r="5" customFormat="false" ht="49.95" hidden="false" customHeight="false" outlineLevel="0" collapsed="false">
      <c r="A5" s="64"/>
      <c r="B5" s="64"/>
      <c r="C5" s="64"/>
      <c r="D5" s="64"/>
      <c r="E5" s="162"/>
      <c r="F5" s="26" t="s">
        <v>2</v>
      </c>
      <c r="G5" s="26"/>
      <c r="H5" s="26" t="s">
        <v>1</v>
      </c>
      <c r="I5" s="30"/>
      <c r="J5" s="28" t="s">
        <v>3</v>
      </c>
      <c r="K5" s="74"/>
      <c r="L5" s="71"/>
    </row>
    <row r="6" customFormat="false" ht="12" hidden="false" customHeight="true" outlineLevel="0" collapsed="false">
      <c r="A6" s="64"/>
      <c r="B6" s="64"/>
      <c r="C6" s="64"/>
      <c r="D6" s="64"/>
      <c r="E6" s="162"/>
      <c r="F6" s="74"/>
      <c r="G6" s="163"/>
      <c r="H6" s="74"/>
      <c r="I6" s="163"/>
      <c r="J6" s="74"/>
      <c r="K6" s="127"/>
      <c r="L6" s="73"/>
    </row>
    <row r="7" s="14" customFormat="true" ht="18" hidden="false" customHeight="true" outlineLevel="0" collapsed="false">
      <c r="A7" s="71"/>
      <c r="B7" s="39" t="s">
        <v>179</v>
      </c>
      <c r="C7" s="71"/>
      <c r="D7" s="71"/>
      <c r="E7" s="73"/>
      <c r="F7" s="102" t="n">
        <v>5322</v>
      </c>
      <c r="G7" s="264"/>
      <c r="H7" s="102" t="n">
        <v>5866</v>
      </c>
      <c r="I7" s="265"/>
      <c r="J7" s="78" t="n">
        <v>0.1</v>
      </c>
      <c r="K7" s="166"/>
      <c r="L7" s="71"/>
    </row>
    <row r="8" s="14" customFormat="true" ht="18" hidden="false" customHeight="true" outlineLevel="0" collapsed="false">
      <c r="A8" s="71"/>
      <c r="B8" s="39" t="s">
        <v>180</v>
      </c>
      <c r="C8" s="71"/>
      <c r="D8" s="71"/>
      <c r="E8" s="73"/>
      <c r="F8" s="266" t="n">
        <v>463</v>
      </c>
      <c r="G8" s="227"/>
      <c r="H8" s="266" t="n">
        <v>230</v>
      </c>
      <c r="I8" s="73"/>
      <c r="J8" s="78" t="n">
        <v>-0.5</v>
      </c>
      <c r="K8" s="166"/>
      <c r="L8" s="71"/>
    </row>
    <row r="9" customFormat="false" ht="18" hidden="false" customHeight="true" outlineLevel="0" collapsed="false">
      <c r="A9" s="64"/>
      <c r="B9" s="172" t="s">
        <v>210</v>
      </c>
      <c r="C9" s="174"/>
      <c r="D9" s="174"/>
      <c r="E9" s="175"/>
      <c r="F9" s="176" t="n">
        <v>5785</v>
      </c>
      <c r="G9" s="175"/>
      <c r="H9" s="176" t="n">
        <v>6096</v>
      </c>
      <c r="I9" s="175"/>
      <c r="J9" s="93" t="n">
        <v>0.05</v>
      </c>
      <c r="K9" s="177"/>
      <c r="L9" s="81"/>
    </row>
    <row r="10" customFormat="false" ht="18" hidden="false" customHeight="true" outlineLevel="0" collapsed="false">
      <c r="A10" s="64"/>
      <c r="B10" s="178" t="s">
        <v>10</v>
      </c>
      <c r="C10" s="173"/>
      <c r="D10" s="173"/>
      <c r="E10" s="179"/>
      <c r="F10" s="180" t="n">
        <v>4017</v>
      </c>
      <c r="G10" s="175"/>
      <c r="H10" s="180" t="n">
        <v>4307</v>
      </c>
      <c r="I10" s="175"/>
      <c r="J10" s="78" t="n">
        <v>0.07</v>
      </c>
      <c r="K10" s="181"/>
      <c r="L10" s="162"/>
    </row>
    <row r="11" customFormat="false" ht="25.5" hidden="false" customHeight="true" outlineLevel="0" collapsed="false">
      <c r="A11" s="64"/>
      <c r="B11" s="178"/>
      <c r="C11" s="178" t="s">
        <v>147</v>
      </c>
      <c r="D11" s="173"/>
      <c r="E11" s="179"/>
      <c r="F11" s="180" t="n">
        <v>568</v>
      </c>
      <c r="G11" s="175"/>
      <c r="H11" s="180" t="n">
        <v>908</v>
      </c>
      <c r="I11" s="175"/>
      <c r="J11" s="78" t="n">
        <v>0.6</v>
      </c>
      <c r="K11" s="181"/>
      <c r="L11" s="267"/>
    </row>
    <row r="12" customFormat="false" ht="18" hidden="false" customHeight="true" outlineLevel="0" collapsed="false">
      <c r="A12" s="64"/>
      <c r="B12" s="178"/>
      <c r="C12" s="178" t="s">
        <v>40</v>
      </c>
      <c r="D12" s="173"/>
      <c r="E12" s="179"/>
      <c r="F12" s="180" t="n">
        <v>-866</v>
      </c>
      <c r="G12" s="175"/>
      <c r="H12" s="180" t="n">
        <v>771</v>
      </c>
      <c r="I12" s="175"/>
      <c r="J12" s="78" t="s">
        <v>8</v>
      </c>
      <c r="K12" s="181"/>
      <c r="L12" s="73"/>
    </row>
    <row r="13" customFormat="false" ht="18" hidden="false" customHeight="true" outlineLevel="0" collapsed="false">
      <c r="A13" s="64"/>
      <c r="B13" s="178"/>
      <c r="C13" s="178" t="s">
        <v>45</v>
      </c>
      <c r="D13" s="173"/>
      <c r="E13" s="180"/>
      <c r="F13" s="180" t="n">
        <v>-3</v>
      </c>
      <c r="G13" s="175"/>
      <c r="H13" s="180" t="n">
        <v>-19</v>
      </c>
      <c r="I13" s="175"/>
      <c r="J13" s="78" t="s">
        <v>8</v>
      </c>
      <c r="K13" s="181"/>
      <c r="L13" s="73"/>
    </row>
    <row r="14" customFormat="false" ht="18" hidden="false" customHeight="true" outlineLevel="0" collapsed="false">
      <c r="A14" s="64"/>
      <c r="B14" s="178"/>
      <c r="C14" s="178" t="s">
        <v>211</v>
      </c>
      <c r="D14" s="173"/>
      <c r="E14" s="179"/>
      <c r="F14" s="183" t="n">
        <v>5</v>
      </c>
      <c r="G14" s="175"/>
      <c r="H14" s="183" t="n">
        <v>6</v>
      </c>
      <c r="I14" s="175"/>
      <c r="J14" s="78" t="n">
        <v>0.2</v>
      </c>
      <c r="K14" s="181"/>
      <c r="L14" s="73"/>
    </row>
    <row r="15" customFormat="false" ht="18" hidden="false" customHeight="true" outlineLevel="0" collapsed="false">
      <c r="A15" s="64"/>
      <c r="B15" s="178" t="s">
        <v>212</v>
      </c>
      <c r="C15" s="173"/>
      <c r="D15" s="173"/>
      <c r="E15" s="179"/>
      <c r="F15" s="184" t="n">
        <v>-296</v>
      </c>
      <c r="G15" s="175"/>
      <c r="H15" s="184" t="n">
        <v>1666</v>
      </c>
      <c r="I15" s="175"/>
      <c r="J15" s="78" t="s">
        <v>8</v>
      </c>
      <c r="K15" s="181"/>
      <c r="L15" s="267"/>
    </row>
    <row r="16" customFormat="false" ht="18" hidden="false" customHeight="true" outlineLevel="0" collapsed="false">
      <c r="A16" s="64"/>
      <c r="B16" s="178" t="s">
        <v>213</v>
      </c>
      <c r="C16" s="173"/>
      <c r="D16" s="173"/>
      <c r="E16" s="179"/>
      <c r="F16" s="185" t="n">
        <v>2064</v>
      </c>
      <c r="G16" s="175"/>
      <c r="H16" s="185" t="n">
        <v>123</v>
      </c>
      <c r="I16" s="175"/>
      <c r="J16" s="78" t="n">
        <v>-0.94</v>
      </c>
      <c r="K16" s="181"/>
      <c r="L16" s="64"/>
    </row>
    <row r="17" customFormat="false" ht="18" hidden="false" customHeight="true" outlineLevel="0" collapsed="false">
      <c r="A17" s="64"/>
      <c r="B17" s="178" t="s">
        <v>214</v>
      </c>
      <c r="C17" s="173"/>
      <c r="D17" s="173"/>
      <c r="E17" s="179"/>
      <c r="F17" s="183" t="n">
        <v>451</v>
      </c>
      <c r="G17" s="175"/>
      <c r="H17" s="183" t="n">
        <v>9</v>
      </c>
      <c r="I17" s="175"/>
      <c r="J17" s="78" t="n">
        <v>-0.98</v>
      </c>
      <c r="K17" s="181"/>
      <c r="L17" s="64"/>
    </row>
    <row r="18" s="187" customFormat="true" ht="18" hidden="false" customHeight="true" outlineLevel="0" collapsed="false">
      <c r="A18" s="186"/>
      <c r="B18" s="172" t="s">
        <v>54</v>
      </c>
      <c r="C18" s="174"/>
      <c r="D18" s="174"/>
      <c r="E18" s="175"/>
      <c r="F18" s="176" t="n">
        <v>1613</v>
      </c>
      <c r="G18" s="175"/>
      <c r="H18" s="176" t="n">
        <v>114</v>
      </c>
      <c r="I18" s="175"/>
      <c r="J18" s="93" t="n">
        <v>-0.93</v>
      </c>
      <c r="K18" s="177"/>
      <c r="L18" s="186"/>
    </row>
    <row r="19" customFormat="false" ht="18" hidden="false" customHeight="true" outlineLevel="0" collapsed="false">
      <c r="A19" s="64"/>
      <c r="B19" s="178" t="s">
        <v>120</v>
      </c>
      <c r="C19" s="173"/>
      <c r="D19" s="173"/>
      <c r="E19" s="179"/>
      <c r="F19" s="188" t="n">
        <v>0</v>
      </c>
      <c r="G19" s="175"/>
      <c r="H19" s="188" t="n">
        <v>0</v>
      </c>
      <c r="I19" s="175"/>
      <c r="J19" s="78" t="s">
        <v>36</v>
      </c>
      <c r="K19" s="181"/>
      <c r="L19" s="64"/>
    </row>
    <row r="20" s="187" customFormat="true" ht="18" hidden="false" customHeight="true" outlineLevel="0" collapsed="false">
      <c r="A20" s="186"/>
      <c r="B20" s="172" t="s">
        <v>215</v>
      </c>
      <c r="C20" s="174"/>
      <c r="D20" s="174"/>
      <c r="E20" s="175"/>
      <c r="F20" s="189" t="n">
        <v>1613</v>
      </c>
      <c r="G20" s="175"/>
      <c r="H20" s="189" t="n">
        <v>114</v>
      </c>
      <c r="I20" s="175"/>
      <c r="J20" s="93" t="n">
        <v>-0.93</v>
      </c>
      <c r="K20" s="177"/>
      <c r="L20" s="186"/>
    </row>
    <row r="21" s="187" customFormat="true" ht="18" hidden="false" customHeight="true" outlineLevel="0" collapsed="false">
      <c r="A21" s="186"/>
      <c r="B21" s="178" t="s">
        <v>152</v>
      </c>
      <c r="C21" s="174"/>
      <c r="D21" s="174"/>
      <c r="E21" s="175"/>
      <c r="F21" s="190" t="n">
        <v>464</v>
      </c>
      <c r="G21" s="179"/>
      <c r="H21" s="190" t="n">
        <v>494</v>
      </c>
      <c r="I21" s="179"/>
      <c r="J21" s="78" t="n">
        <v>0.06</v>
      </c>
      <c r="K21" s="192"/>
      <c r="L21" s="64"/>
    </row>
    <row r="22" customFormat="false" ht="18" hidden="false" customHeight="true" outlineLevel="0" collapsed="false">
      <c r="A22" s="64"/>
      <c r="B22" s="178" t="s">
        <v>153</v>
      </c>
      <c r="C22" s="173"/>
      <c r="D22" s="173"/>
      <c r="E22" s="88"/>
      <c r="F22" s="88" t="n">
        <v>476</v>
      </c>
      <c r="G22" s="193"/>
      <c r="H22" s="88" t="n">
        <v>484</v>
      </c>
      <c r="I22" s="191"/>
      <c r="J22" s="78" t="n">
        <v>0.02</v>
      </c>
      <c r="K22" s="192"/>
      <c r="L22" s="64"/>
    </row>
    <row r="23" customFormat="false" ht="18" hidden="false" customHeight="true" outlineLevel="0" collapsed="false">
      <c r="A23" s="64"/>
      <c r="B23" s="178" t="s">
        <v>154</v>
      </c>
      <c r="C23" s="173"/>
      <c r="D23" s="173"/>
      <c r="E23" s="179"/>
      <c r="F23" s="194" t="n">
        <v>0.69</v>
      </c>
      <c r="G23" s="195"/>
      <c r="H23" s="194" t="n">
        <v>0.71</v>
      </c>
      <c r="I23" s="195"/>
      <c r="J23" s="196" t="n">
        <v>200</v>
      </c>
      <c r="K23" s="197"/>
      <c r="L23" s="268"/>
    </row>
    <row r="24" customFormat="false" ht="9.75" hidden="false" customHeight="true" outlineLevel="0" collapsed="false">
      <c r="A24" s="64"/>
      <c r="B24" s="178"/>
      <c r="C24" s="173"/>
      <c r="D24" s="173"/>
      <c r="E24" s="179"/>
      <c r="F24" s="198"/>
      <c r="G24" s="195"/>
      <c r="H24" s="198"/>
      <c r="I24" s="195"/>
      <c r="J24" s="78"/>
      <c r="K24" s="199"/>
      <c r="L24" s="64"/>
    </row>
    <row r="25" customFormat="false" ht="11.25" hidden="false" customHeight="true" outlineLevel="0" collapsed="false">
      <c r="A25" s="64"/>
      <c r="B25" s="178"/>
      <c r="C25" s="173"/>
      <c r="D25" s="173"/>
      <c r="E25" s="179"/>
      <c r="F25" s="198"/>
      <c r="G25" s="195"/>
      <c r="H25" s="198"/>
      <c r="I25" s="195"/>
      <c r="J25" s="78"/>
      <c r="K25" s="199"/>
      <c r="L25" s="64"/>
    </row>
    <row r="26" customFormat="false" ht="18" hidden="false" customHeight="true" outlineLevel="0" collapsed="false">
      <c r="A26" s="64"/>
      <c r="B26" s="186" t="s">
        <v>216</v>
      </c>
      <c r="C26" s="64"/>
      <c r="D26" s="64"/>
      <c r="E26" s="200"/>
      <c r="F26" s="201"/>
      <c r="G26" s="202"/>
      <c r="H26" s="201"/>
      <c r="I26" s="142"/>
      <c r="J26" s="64"/>
      <c r="K26" s="203"/>
      <c r="L26" s="64"/>
    </row>
    <row r="27" customFormat="false" ht="18" hidden="false" customHeight="true" outlineLevel="0" collapsed="false">
      <c r="A27" s="64"/>
      <c r="B27" s="186"/>
      <c r="C27" s="64"/>
      <c r="D27" s="64" t="s">
        <v>217</v>
      </c>
      <c r="E27" s="200"/>
      <c r="F27" s="82" t="n">
        <v>2073</v>
      </c>
      <c r="G27" s="82"/>
      <c r="H27" s="82" t="n">
        <v>2376</v>
      </c>
      <c r="I27" s="142"/>
      <c r="J27" s="78" t="n">
        <v>0.15</v>
      </c>
      <c r="K27" s="181"/>
      <c r="L27" s="64"/>
    </row>
    <row r="28" customFormat="false" ht="18" hidden="false" customHeight="true" outlineLevel="0" collapsed="false">
      <c r="A28" s="64"/>
      <c r="B28" s="186"/>
      <c r="C28" s="64"/>
      <c r="D28" s="64" t="s">
        <v>218</v>
      </c>
      <c r="E28" s="200"/>
      <c r="F28" s="84" t="n">
        <v>1290</v>
      </c>
      <c r="G28" s="84"/>
      <c r="H28" s="84" t="n">
        <v>1420</v>
      </c>
      <c r="I28" s="142"/>
      <c r="J28" s="78" t="n">
        <v>0.1</v>
      </c>
      <c r="K28" s="181"/>
      <c r="L28" s="64"/>
    </row>
    <row r="29" customFormat="false" ht="18" hidden="false" customHeight="true" outlineLevel="0" collapsed="false">
      <c r="A29" s="64"/>
      <c r="B29" s="186"/>
      <c r="C29" s="64"/>
      <c r="D29" s="64" t="s">
        <v>219</v>
      </c>
      <c r="E29" s="200"/>
      <c r="F29" s="84" t="n">
        <v>624</v>
      </c>
      <c r="G29" s="84"/>
      <c r="H29" s="84" t="n">
        <v>608</v>
      </c>
      <c r="I29" s="142"/>
      <c r="J29" s="78" t="n">
        <v>-0.03</v>
      </c>
      <c r="K29" s="181"/>
      <c r="L29" s="64"/>
    </row>
    <row r="30" s="14" customFormat="true" ht="18" hidden="false" customHeight="true" outlineLevel="0" collapsed="false">
      <c r="A30" s="71"/>
      <c r="B30" s="71"/>
      <c r="C30" s="71" t="s">
        <v>220</v>
      </c>
      <c r="D30" s="71"/>
      <c r="E30" s="25"/>
      <c r="F30" s="94" t="n">
        <v>3987</v>
      </c>
      <c r="G30" s="73"/>
      <c r="H30" s="94" t="n">
        <v>4404</v>
      </c>
      <c r="I30" s="143"/>
      <c r="J30" s="78" t="n">
        <v>0.1</v>
      </c>
      <c r="K30" s="181"/>
      <c r="L30" s="64"/>
    </row>
    <row r="31" customFormat="false" ht="18" hidden="false" customHeight="true" outlineLevel="0" collapsed="false">
      <c r="A31" s="64"/>
      <c r="B31" s="186"/>
      <c r="C31" s="64"/>
      <c r="D31" s="64" t="s">
        <v>221</v>
      </c>
      <c r="E31" s="200"/>
      <c r="F31" s="84" t="n">
        <v>688</v>
      </c>
      <c r="G31" s="84"/>
      <c r="H31" s="84" t="n">
        <v>589</v>
      </c>
      <c r="I31" s="142"/>
      <c r="J31" s="78" t="n">
        <v>-0.14</v>
      </c>
      <c r="K31" s="181"/>
      <c r="L31" s="64"/>
    </row>
    <row r="32" customFormat="false" ht="18" hidden="false" customHeight="true" outlineLevel="0" collapsed="false">
      <c r="A32" s="64"/>
      <c r="B32" s="186"/>
      <c r="C32" s="64"/>
      <c r="D32" s="64" t="s">
        <v>222</v>
      </c>
      <c r="E32" s="200"/>
      <c r="F32" s="84" t="n">
        <v>177</v>
      </c>
      <c r="G32" s="84"/>
      <c r="H32" s="84" t="n">
        <v>195</v>
      </c>
      <c r="I32" s="142"/>
      <c r="J32" s="78" t="n">
        <v>0.1</v>
      </c>
      <c r="K32" s="181"/>
      <c r="L32" s="64"/>
    </row>
    <row r="33" customFormat="false" ht="18" hidden="false" customHeight="true" outlineLevel="0" collapsed="false">
      <c r="A33" s="64"/>
      <c r="B33" s="186"/>
      <c r="C33" s="64"/>
      <c r="D33" s="64" t="s">
        <v>223</v>
      </c>
      <c r="E33" s="200"/>
      <c r="F33" s="87" t="n">
        <v>933</v>
      </c>
      <c r="G33" s="84"/>
      <c r="H33" s="87" t="n">
        <v>908</v>
      </c>
      <c r="I33" s="142"/>
      <c r="J33" s="78" t="n">
        <v>-0.03</v>
      </c>
      <c r="K33" s="181"/>
      <c r="L33" s="64"/>
    </row>
    <row r="34" s="14" customFormat="true" ht="20.25" hidden="false" customHeight="true" outlineLevel="0" collapsed="false">
      <c r="A34" s="71"/>
      <c r="B34" s="71"/>
      <c r="C34" s="71" t="s">
        <v>224</v>
      </c>
      <c r="D34" s="71"/>
      <c r="E34" s="25"/>
      <c r="F34" s="87" t="n">
        <v>1798</v>
      </c>
      <c r="G34" s="269"/>
      <c r="H34" s="87" t="n">
        <v>1692</v>
      </c>
      <c r="I34" s="142"/>
      <c r="J34" s="78" t="n">
        <v>-0.06</v>
      </c>
      <c r="K34" s="181"/>
      <c r="L34" s="64"/>
    </row>
    <row r="35" customFormat="false" ht="18.75" hidden="false" customHeight="true" outlineLevel="0" collapsed="false">
      <c r="A35" s="64"/>
      <c r="B35" s="186"/>
      <c r="C35" s="178"/>
      <c r="D35" s="178" t="s">
        <v>186</v>
      </c>
      <c r="E35" s="200"/>
      <c r="F35" s="208" t="n">
        <v>5785</v>
      </c>
      <c r="G35" s="270"/>
      <c r="H35" s="208" t="n">
        <v>6096</v>
      </c>
      <c r="I35" s="142"/>
      <c r="J35" s="78" t="n">
        <v>0.05</v>
      </c>
      <c r="K35" s="203"/>
      <c r="L35" s="64"/>
    </row>
    <row r="36" s="14" customFormat="true" ht="22.5" hidden="false" customHeight="true" outlineLevel="0" collapsed="false">
      <c r="A36" s="71"/>
      <c r="B36" s="71"/>
      <c r="C36" s="64"/>
      <c r="D36" s="64"/>
      <c r="E36" s="25"/>
      <c r="F36" s="82"/>
      <c r="G36" s="202"/>
      <c r="H36" s="82"/>
      <c r="I36" s="142"/>
      <c r="J36" s="78"/>
      <c r="K36" s="181"/>
      <c r="L36" s="64"/>
    </row>
    <row r="37" customFormat="false" ht="18" hidden="false" customHeight="true" outlineLevel="0" collapsed="false">
      <c r="A37" s="64"/>
      <c r="B37" s="186" t="s">
        <v>165</v>
      </c>
      <c r="C37" s="64"/>
      <c r="D37" s="64"/>
      <c r="E37" s="200"/>
      <c r="F37" s="201"/>
      <c r="G37" s="202"/>
      <c r="H37" s="201"/>
      <c r="I37" s="142"/>
      <c r="J37" s="64"/>
      <c r="K37" s="203"/>
      <c r="L37" s="64"/>
    </row>
    <row r="38" s="14" customFormat="true" ht="18" hidden="false" customHeight="true" outlineLevel="0" collapsed="false">
      <c r="A38" s="71"/>
      <c r="B38" s="16"/>
      <c r="C38" s="85" t="s">
        <v>220</v>
      </c>
      <c r="D38" s="16"/>
      <c r="E38" s="73"/>
      <c r="F38" s="209" t="n">
        <v>162</v>
      </c>
      <c r="G38" s="209"/>
      <c r="H38" s="209" t="n">
        <v>180</v>
      </c>
      <c r="I38" s="210"/>
      <c r="J38" s="78" t="n">
        <v>0.11</v>
      </c>
      <c r="K38" s="129"/>
      <c r="L38" s="71"/>
    </row>
    <row r="39" s="14" customFormat="true" ht="18" hidden="false" customHeight="true" outlineLevel="0" collapsed="false">
      <c r="A39" s="71"/>
      <c r="B39" s="71"/>
      <c r="C39" s="85" t="s">
        <v>224</v>
      </c>
      <c r="D39" s="71"/>
      <c r="E39" s="74"/>
      <c r="F39" s="88" t="n">
        <v>150</v>
      </c>
      <c r="G39" s="206"/>
      <c r="H39" s="88" t="n">
        <v>150</v>
      </c>
      <c r="I39" s="74"/>
      <c r="J39" s="78" t="s">
        <v>36</v>
      </c>
      <c r="K39" s="129"/>
      <c r="L39" s="71"/>
    </row>
    <row r="40" s="14" customFormat="true" ht="18" hidden="false" customHeight="true" outlineLevel="0" collapsed="false">
      <c r="A40" s="71"/>
      <c r="B40" s="71"/>
      <c r="C40" s="64"/>
      <c r="D40" s="64" t="s">
        <v>166</v>
      </c>
      <c r="E40" s="25"/>
      <c r="F40" s="208" t="n">
        <v>312</v>
      </c>
      <c r="G40" s="202"/>
      <c r="H40" s="208" t="n">
        <v>330</v>
      </c>
      <c r="I40" s="142"/>
      <c r="J40" s="78" t="n">
        <v>0.06</v>
      </c>
      <c r="K40" s="181"/>
      <c r="L40" s="64"/>
    </row>
    <row r="41" s="14" customFormat="true" ht="18" hidden="false" customHeight="true" outlineLevel="0" collapsed="false">
      <c r="A41" s="71"/>
      <c r="B41" s="71"/>
      <c r="C41" s="64"/>
      <c r="D41" s="64"/>
      <c r="E41" s="25"/>
      <c r="F41" s="82"/>
      <c r="G41" s="202"/>
      <c r="H41" s="82"/>
      <c r="I41" s="142"/>
      <c r="J41" s="78"/>
      <c r="K41" s="181"/>
      <c r="L41" s="64"/>
    </row>
    <row r="42" customFormat="false" ht="18" hidden="false" customHeight="true" outlineLevel="0" collapsed="false">
      <c r="A42" s="64"/>
      <c r="B42" s="186" t="s">
        <v>225</v>
      </c>
      <c r="C42" s="64"/>
      <c r="D42" s="64"/>
      <c r="E42" s="200"/>
      <c r="F42" s="201"/>
      <c r="G42" s="202"/>
      <c r="H42" s="201"/>
      <c r="I42" s="142"/>
      <c r="J42" s="64"/>
      <c r="K42" s="203"/>
      <c r="L42" s="64"/>
    </row>
    <row r="43" s="14" customFormat="true" ht="18" hidden="false" customHeight="true" outlineLevel="0" collapsed="false">
      <c r="A43" s="71"/>
      <c r="B43" s="16"/>
      <c r="C43" s="85" t="s">
        <v>220</v>
      </c>
      <c r="D43" s="16"/>
      <c r="E43" s="73"/>
      <c r="F43" s="209" t="n">
        <v>114</v>
      </c>
      <c r="G43" s="209"/>
      <c r="H43" s="209" t="n">
        <v>111</v>
      </c>
      <c r="I43" s="210"/>
      <c r="J43" s="78" t="n">
        <v>-0.03</v>
      </c>
      <c r="K43" s="129"/>
      <c r="L43" s="71"/>
    </row>
    <row r="44" s="14" customFormat="true" ht="18" hidden="false" customHeight="true" outlineLevel="0" collapsed="false">
      <c r="A44" s="71"/>
      <c r="B44" s="71"/>
      <c r="C44" s="85" t="s">
        <v>224</v>
      </c>
      <c r="D44" s="71"/>
      <c r="E44" s="74"/>
      <c r="F44" s="88" t="n">
        <v>323</v>
      </c>
      <c r="G44" s="206"/>
      <c r="H44" s="88" t="n">
        <v>320</v>
      </c>
      <c r="I44" s="74"/>
      <c r="J44" s="78" t="n">
        <v>-0.01</v>
      </c>
      <c r="K44" s="129"/>
      <c r="L44" s="71"/>
    </row>
    <row r="45" s="14" customFormat="true" ht="18" hidden="false" customHeight="true" outlineLevel="0" collapsed="false">
      <c r="A45" s="71"/>
      <c r="B45" s="71"/>
      <c r="C45" s="64"/>
      <c r="D45" s="64" t="s">
        <v>166</v>
      </c>
      <c r="E45" s="25"/>
      <c r="F45" s="208" t="n">
        <v>437</v>
      </c>
      <c r="G45" s="202"/>
      <c r="H45" s="208" t="n">
        <v>431</v>
      </c>
      <c r="I45" s="142"/>
      <c r="J45" s="78" t="n">
        <v>-0.01</v>
      </c>
      <c r="K45" s="181"/>
      <c r="L45" s="64"/>
    </row>
    <row r="46" s="14" customFormat="true" ht="18" hidden="false" customHeight="true" outlineLevel="0" collapsed="false">
      <c r="A46" s="71"/>
      <c r="B46" s="71"/>
      <c r="C46" s="64"/>
      <c r="D46" s="64"/>
      <c r="E46" s="25"/>
      <c r="F46" s="82"/>
      <c r="G46" s="202"/>
      <c r="H46" s="82"/>
      <c r="I46" s="142"/>
      <c r="J46" s="78"/>
      <c r="K46" s="181"/>
      <c r="L46" s="64"/>
    </row>
    <row r="47" customFormat="false" ht="18" hidden="false" customHeight="true" outlineLevel="0" collapsed="false">
      <c r="A47" s="64"/>
      <c r="B47" s="58"/>
      <c r="C47" s="59"/>
      <c r="D47" s="60"/>
      <c r="E47" s="60"/>
      <c r="F47" s="108"/>
      <c r="G47" s="108"/>
      <c r="H47" s="108"/>
      <c r="I47" s="108"/>
      <c r="J47" s="109"/>
      <c r="K47" s="214"/>
      <c r="L47" s="64"/>
    </row>
    <row r="48" customFormat="false" ht="18" hidden="false" customHeight="true" outlineLevel="0" collapsed="false">
      <c r="A48" s="64"/>
      <c r="B48" s="64"/>
      <c r="C48" s="64"/>
      <c r="D48" s="64"/>
      <c r="E48" s="200"/>
      <c r="F48" s="271"/>
      <c r="G48" s="202"/>
      <c r="H48" s="271"/>
      <c r="I48" s="142"/>
      <c r="J48" s="64"/>
      <c r="K48" s="64"/>
      <c r="L48" s="64"/>
    </row>
    <row r="49" customFormat="false" ht="18" hidden="false" customHeight="true" outlineLevel="0" collapsed="false">
      <c r="A49" s="64"/>
      <c r="B49" s="64"/>
      <c r="C49" s="71"/>
      <c r="D49" s="64"/>
      <c r="E49" s="64"/>
      <c r="F49" s="216"/>
      <c r="G49" s="216"/>
      <c r="H49" s="216"/>
      <c r="I49" s="216"/>
      <c r="J49" s="64"/>
      <c r="K49" s="217"/>
      <c r="L49" s="64"/>
    </row>
    <row r="50" customFormat="false" ht="18" hidden="false" customHeight="true" outlineLevel="0" collapsed="false">
      <c r="A50" s="64"/>
      <c r="B50" s="64" t="s">
        <v>71</v>
      </c>
      <c r="C50" s="71"/>
      <c r="D50" s="64"/>
      <c r="E50" s="64"/>
      <c r="F50" s="216"/>
      <c r="G50" s="216"/>
      <c r="H50" s="216"/>
      <c r="I50" s="216"/>
      <c r="J50" s="64"/>
      <c r="K50" s="217"/>
      <c r="L50" s="64"/>
    </row>
    <row r="51" customFormat="false" ht="18" hidden="false" customHeight="true" outlineLevel="0" collapsed="false">
      <c r="A51" s="64"/>
      <c r="B51" s="64" t="s">
        <v>72</v>
      </c>
      <c r="C51" s="64"/>
      <c r="D51" s="64"/>
      <c r="E51" s="64"/>
      <c r="F51" s="216"/>
      <c r="G51" s="216"/>
      <c r="H51" s="216"/>
      <c r="I51" s="216"/>
      <c r="J51" s="64"/>
      <c r="K51" s="217"/>
      <c r="L51" s="64"/>
    </row>
    <row r="52" customFormat="false" ht="18" hidden="false" customHeight="true" outlineLevel="0" collapsed="false">
      <c r="A52" s="64"/>
      <c r="B52" s="64"/>
      <c r="C52" s="64"/>
      <c r="D52" s="64"/>
      <c r="E52" s="64"/>
      <c r="F52" s="216"/>
      <c r="G52" s="216"/>
      <c r="H52" s="216"/>
      <c r="I52" s="216"/>
      <c r="J52" s="64"/>
      <c r="K52" s="217"/>
      <c r="L52" s="64"/>
    </row>
    <row r="53" customFormat="false" ht="18" hidden="false" customHeight="true" outlineLevel="0" collapsed="false">
      <c r="A53" s="64"/>
      <c r="B53" s="64"/>
      <c r="C53" s="64"/>
      <c r="D53" s="64"/>
      <c r="E53" s="64"/>
      <c r="F53" s="216"/>
      <c r="G53" s="216"/>
      <c r="H53" s="216"/>
      <c r="I53" s="216"/>
      <c r="J53" s="64"/>
      <c r="K53" s="217"/>
      <c r="L53" s="64"/>
    </row>
    <row r="54" customFormat="false" ht="18" hidden="false" customHeight="true" outlineLevel="0" collapsed="false">
      <c r="A54" s="64"/>
      <c r="B54" s="64"/>
      <c r="C54" s="64"/>
      <c r="D54" s="64"/>
      <c r="E54" s="64"/>
      <c r="F54" s="216"/>
      <c r="G54" s="216"/>
      <c r="H54" s="216"/>
      <c r="I54" s="216"/>
      <c r="J54" s="64"/>
      <c r="K54" s="217"/>
      <c r="L54" s="64"/>
    </row>
    <row r="55" customFormat="false" ht="18" hidden="false" customHeight="true" outlineLevel="0" collapsed="false">
      <c r="A55" s="64"/>
      <c r="B55" s="64"/>
      <c r="C55" s="64"/>
      <c r="D55" s="64"/>
      <c r="E55" s="64"/>
      <c r="F55" s="216"/>
      <c r="G55" s="216"/>
      <c r="H55" s="216"/>
      <c r="I55" s="216"/>
      <c r="J55" s="64"/>
      <c r="K55" s="217"/>
      <c r="L55" s="64"/>
    </row>
    <row r="56" customFormat="false" ht="18" hidden="false" customHeight="true" outlineLevel="0" collapsed="false">
      <c r="A56" s="64"/>
      <c r="B56" s="64"/>
      <c r="C56" s="64"/>
      <c r="D56" s="64"/>
      <c r="E56" s="64"/>
      <c r="F56" s="216"/>
      <c r="G56" s="216"/>
      <c r="H56" s="216"/>
      <c r="I56" s="216"/>
      <c r="J56" s="64"/>
      <c r="K56" s="217"/>
      <c r="L56" s="64"/>
    </row>
    <row r="57" customFormat="false" ht="18" hidden="false" customHeight="true" outlineLevel="0" collapsed="false">
      <c r="A57" s="64"/>
      <c r="B57" s="64"/>
      <c r="C57" s="64"/>
      <c r="D57" s="64"/>
      <c r="E57" s="64"/>
      <c r="F57" s="216"/>
      <c r="G57" s="216"/>
      <c r="H57" s="216"/>
      <c r="I57" s="216"/>
      <c r="J57" s="64"/>
      <c r="K57" s="217"/>
      <c r="L57" s="64"/>
    </row>
    <row r="58" customFormat="false" ht="18" hidden="false" customHeight="true" outlineLevel="0" collapsed="false">
      <c r="A58" s="64"/>
      <c r="B58" s="64"/>
      <c r="C58" s="64"/>
      <c r="D58" s="64"/>
      <c r="E58" s="64"/>
      <c r="F58" s="216"/>
      <c r="G58" s="216"/>
      <c r="H58" s="216"/>
      <c r="I58" s="216"/>
      <c r="J58" s="64"/>
      <c r="K58" s="217"/>
      <c r="L58" s="64"/>
    </row>
    <row r="59" customFormat="false" ht="18" hidden="false" customHeight="true" outlineLevel="0" collapsed="false">
      <c r="A59" s="64"/>
      <c r="B59" s="64"/>
      <c r="C59" s="64"/>
      <c r="D59" s="64"/>
      <c r="E59" s="64"/>
      <c r="F59" s="216"/>
      <c r="G59" s="216"/>
      <c r="H59" s="216"/>
      <c r="I59" s="216"/>
      <c r="J59" s="64"/>
      <c r="K59" s="217"/>
      <c r="L59" s="64"/>
    </row>
    <row r="60" customFormat="false" ht="19.35" hidden="false" customHeight="false" outlineLevel="0" collapsed="false"/>
    <row r="61" customFormat="false" ht="19.35" hidden="false" customHeight="false" outlineLevel="0" collapsed="false"/>
    <row r="62" customFormat="false" ht="19.35" hidden="false" customHeight="false" outlineLevel="0" collapsed="false"/>
    <row r="63" customFormat="false" ht="19.35" hidden="false" customHeight="false" outlineLevel="0" collapsed="false"/>
    <row r="64" customFormat="false" ht="19.35" hidden="false" customHeight="false" outlineLevel="0" collapsed="false"/>
    <row r="65" customFormat="false" ht="19.35" hidden="false" customHeight="false" outlineLevel="0" collapsed="false"/>
    <row r="66" customFormat="false" ht="19.35" hidden="false" customHeight="false" outlineLevel="0" collapsed="false"/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F6" activeCellId="0" sqref="F6:J6 F6:J6"/>
    </sheetView>
  </sheetViews>
  <sheetFormatPr defaultColWidth="9.32421875" defaultRowHeight="17" zeroHeight="false" outlineLevelRow="0" outlineLevelCol="0"/>
  <cols>
    <col collapsed="false" customWidth="true" hidden="false" outlineLevel="0" max="1" min="1" style="152" width="4.82"/>
    <col collapsed="false" customWidth="true" hidden="false" outlineLevel="0" max="2" min="2" style="152" width="5.32"/>
    <col collapsed="false" customWidth="true" hidden="false" outlineLevel="0" max="3" min="3" style="152" width="4.82"/>
    <col collapsed="false" customWidth="true" hidden="false" outlineLevel="0" max="4" min="4" style="152" width="104.32"/>
    <col collapsed="false" customWidth="true" hidden="false" outlineLevel="0" max="5" min="5" style="152" width="2.82"/>
    <col collapsed="false" customWidth="true" hidden="false" outlineLevel="0" max="6" min="6" style="152" width="17.32"/>
    <col collapsed="false" customWidth="true" hidden="false" outlineLevel="0" max="7" min="7" style="153" width="2.82"/>
    <col collapsed="false" customWidth="true" hidden="false" outlineLevel="0" max="8" min="8" style="153" width="14.99"/>
    <col collapsed="false" customWidth="true" hidden="false" outlineLevel="0" max="9" min="9" style="153" width="2.82"/>
    <col collapsed="false" customWidth="true" hidden="false" outlineLevel="0" max="10" min="10" style="152" width="22.82"/>
    <col collapsed="false" customWidth="true" hidden="false" outlineLevel="0" max="11" min="11" style="152" width="5.15"/>
    <col collapsed="false" customWidth="false" hidden="false" outlineLevel="0" max="257" min="12" style="152" width="9.32"/>
  </cols>
  <sheetData>
    <row r="1" customFormat="false" ht="18" hidden="false" customHeight="true" outlineLevel="0" collapsed="false">
      <c r="D1" s="154"/>
      <c r="E1" s="155"/>
      <c r="F1" s="154"/>
      <c r="G1" s="156"/>
      <c r="H1" s="156"/>
      <c r="I1" s="156"/>
      <c r="J1" s="116"/>
      <c r="K1" s="116"/>
    </row>
    <row r="2" customFormat="false" ht="20.1" hidden="false" customHeight="true" outlineLevel="0" collapsed="false">
      <c r="B2" s="19"/>
      <c r="C2" s="157"/>
      <c r="D2" s="158"/>
      <c r="E2" s="155"/>
      <c r="F2" s="158"/>
      <c r="G2" s="158"/>
      <c r="H2" s="158"/>
      <c r="I2" s="158"/>
      <c r="J2" s="261"/>
      <c r="K2" s="261"/>
    </row>
    <row r="3" customFormat="false" ht="18" hidden="false" customHeight="true" outlineLevel="0" collapsed="false">
      <c r="B3" s="262" t="s">
        <v>209</v>
      </c>
      <c r="C3" s="157"/>
      <c r="D3" s="158"/>
      <c r="E3" s="155"/>
      <c r="F3" s="158"/>
      <c r="G3" s="158"/>
      <c r="H3" s="160"/>
      <c r="I3" s="160"/>
      <c r="J3" s="122"/>
      <c r="K3" s="122"/>
    </row>
    <row r="4" customFormat="false" ht="18" hidden="false" customHeight="true" outlineLevel="0" collapsed="false">
      <c r="B4" s="186" t="s">
        <v>226</v>
      </c>
      <c r="C4" s="157"/>
      <c r="D4" s="158"/>
      <c r="E4" s="161"/>
      <c r="F4" s="158"/>
      <c r="G4" s="158"/>
      <c r="H4" s="160"/>
      <c r="I4" s="160"/>
      <c r="J4" s="122"/>
      <c r="K4" s="122"/>
    </row>
    <row r="5" customFormat="false" ht="18" hidden="false" customHeight="true" outlineLevel="0" collapsed="false">
      <c r="B5" s="186"/>
      <c r="C5" s="157"/>
      <c r="D5" s="158"/>
      <c r="E5" s="161"/>
      <c r="F5" s="158"/>
      <c r="G5" s="158"/>
      <c r="H5" s="160"/>
      <c r="I5" s="160"/>
      <c r="J5" s="122"/>
      <c r="K5" s="122"/>
    </row>
    <row r="6" customFormat="false" ht="49.95" hidden="false" customHeight="false" outlineLevel="0" collapsed="false">
      <c r="A6" s="64"/>
      <c r="B6" s="64"/>
      <c r="C6" s="64"/>
      <c r="D6" s="64"/>
      <c r="E6" s="162"/>
      <c r="F6" s="26" t="s">
        <v>2</v>
      </c>
      <c r="G6" s="73"/>
      <c r="H6" s="26" t="s">
        <v>1</v>
      </c>
      <c r="I6" s="74"/>
      <c r="J6" s="28" t="s">
        <v>3</v>
      </c>
      <c r="K6" s="74"/>
    </row>
    <row r="7" customFormat="false" ht="18" hidden="false" customHeight="true" outlineLevel="0" collapsed="false">
      <c r="A7" s="64"/>
      <c r="B7" s="64"/>
      <c r="C7" s="64"/>
      <c r="D7" s="64"/>
      <c r="E7" s="162"/>
      <c r="F7" s="74"/>
      <c r="G7" s="163"/>
      <c r="H7" s="74"/>
      <c r="I7" s="163"/>
      <c r="J7" s="74"/>
      <c r="K7" s="74"/>
    </row>
    <row r="8" s="14" customFormat="true" ht="18" hidden="false" customHeight="true" outlineLevel="0" collapsed="false">
      <c r="A8" s="71"/>
      <c r="B8" s="272" t="s">
        <v>227</v>
      </c>
      <c r="C8" s="64"/>
      <c r="D8" s="64"/>
      <c r="E8" s="25"/>
      <c r="F8" s="82"/>
      <c r="G8" s="202"/>
      <c r="H8" s="82"/>
      <c r="I8" s="142"/>
      <c r="J8" s="78"/>
      <c r="K8" s="215"/>
    </row>
    <row r="9" s="14" customFormat="true" ht="18" hidden="false" customHeight="true" outlineLevel="0" collapsed="false">
      <c r="A9" s="71"/>
      <c r="B9" s="272"/>
      <c r="C9" s="64"/>
      <c r="D9" s="64"/>
      <c r="E9" s="25"/>
      <c r="F9" s="82"/>
      <c r="G9" s="202"/>
      <c r="H9" s="82"/>
      <c r="I9" s="142"/>
      <c r="J9" s="78"/>
      <c r="K9" s="215"/>
    </row>
    <row r="10" s="14" customFormat="true" ht="18" hidden="false" customHeight="true" outlineLevel="0" collapsed="false">
      <c r="A10" s="71"/>
      <c r="B10" s="256" t="s">
        <v>228</v>
      </c>
      <c r="C10" s="71"/>
      <c r="D10" s="64"/>
      <c r="E10" s="25"/>
      <c r="F10" s="273"/>
      <c r="G10" s="202"/>
      <c r="H10" s="273"/>
      <c r="I10" s="142"/>
      <c r="J10" s="78"/>
      <c r="K10" s="215"/>
    </row>
    <row r="11" s="14" customFormat="true" ht="22.5" hidden="false" customHeight="true" outlineLevel="0" collapsed="false">
      <c r="A11" s="71"/>
      <c r="B11" s="256"/>
      <c r="C11" s="71" t="s">
        <v>217</v>
      </c>
      <c r="D11" s="64"/>
      <c r="E11" s="25"/>
      <c r="F11" s="273" t="n">
        <v>1069</v>
      </c>
      <c r="G11" s="274"/>
      <c r="H11" s="273" t="n">
        <v>1023</v>
      </c>
      <c r="I11" s="142"/>
      <c r="J11" s="78" t="n">
        <v>-0.04</v>
      </c>
      <c r="K11" s="215"/>
    </row>
    <row r="12" s="14" customFormat="true" ht="21.75" hidden="false" customHeight="true" outlineLevel="0" collapsed="false">
      <c r="A12" s="71"/>
      <c r="B12" s="256"/>
      <c r="C12" s="71" t="s">
        <v>218</v>
      </c>
      <c r="D12" s="64"/>
      <c r="E12" s="25"/>
      <c r="F12" s="273" t="n">
        <v>3126</v>
      </c>
      <c r="G12" s="274"/>
      <c r="H12" s="273" t="n">
        <v>2806</v>
      </c>
      <c r="I12" s="142"/>
      <c r="J12" s="78" t="n">
        <v>-0.1</v>
      </c>
      <c r="K12" s="215"/>
    </row>
    <row r="13" s="14" customFormat="true" ht="21" hidden="false" customHeight="true" outlineLevel="0" collapsed="false">
      <c r="A13" s="71"/>
      <c r="B13" s="256" t="s">
        <v>229</v>
      </c>
      <c r="C13" s="71"/>
      <c r="D13" s="64"/>
      <c r="E13" s="25"/>
      <c r="F13" s="40"/>
      <c r="G13" s="275"/>
      <c r="H13" s="40"/>
      <c r="I13" s="276"/>
      <c r="J13" s="78"/>
      <c r="K13" s="215"/>
    </row>
    <row r="14" s="14" customFormat="true" ht="18" hidden="false" customHeight="true" outlineLevel="0" collapsed="false">
      <c r="A14" s="71"/>
      <c r="B14" s="256"/>
      <c r="C14" s="71" t="s">
        <v>217</v>
      </c>
      <c r="D14" s="64"/>
      <c r="E14" s="25"/>
      <c r="F14" s="40" t="n">
        <v>115.2</v>
      </c>
      <c r="G14" s="275"/>
      <c r="H14" s="40" t="n">
        <v>125.3</v>
      </c>
      <c r="I14" s="276"/>
      <c r="J14" s="78" t="n">
        <v>0.09</v>
      </c>
      <c r="K14" s="215"/>
    </row>
    <row r="15" s="14" customFormat="true" ht="21.75" hidden="false" customHeight="true" outlineLevel="0" collapsed="false">
      <c r="A15" s="71"/>
      <c r="B15" s="256"/>
      <c r="C15" s="71" t="s">
        <v>218</v>
      </c>
      <c r="D15" s="64"/>
      <c r="E15" s="25"/>
      <c r="F15" s="277" t="n">
        <v>27.1</v>
      </c>
      <c r="G15" s="277"/>
      <c r="H15" s="277" t="n">
        <v>27.1</v>
      </c>
      <c r="I15" s="276"/>
      <c r="J15" s="78" t="s">
        <v>36</v>
      </c>
      <c r="K15" s="215"/>
    </row>
    <row r="16" s="14" customFormat="true" ht="21" hidden="false" customHeight="true" outlineLevel="0" collapsed="false">
      <c r="A16" s="71"/>
      <c r="B16" s="256" t="s">
        <v>230</v>
      </c>
      <c r="C16" s="71"/>
      <c r="D16" s="64"/>
      <c r="E16" s="25"/>
      <c r="F16" s="277"/>
      <c r="G16" s="277"/>
      <c r="H16" s="277"/>
      <c r="I16" s="278"/>
      <c r="J16" s="78"/>
      <c r="K16" s="215"/>
    </row>
    <row r="17" s="14" customFormat="true" ht="21" hidden="false" customHeight="true" outlineLevel="0" collapsed="false">
      <c r="A17" s="71"/>
      <c r="B17" s="256"/>
      <c r="C17" s="71" t="s">
        <v>217</v>
      </c>
      <c r="D17" s="64"/>
      <c r="E17" s="25"/>
      <c r="F17" s="40" t="n">
        <v>84.5</v>
      </c>
      <c r="G17" s="40"/>
      <c r="H17" s="40" t="n">
        <v>95.4</v>
      </c>
      <c r="I17" s="278"/>
      <c r="J17" s="78" t="n">
        <v>0.13</v>
      </c>
      <c r="K17" s="215"/>
    </row>
    <row r="18" s="14" customFormat="true" ht="22.5" hidden="false" customHeight="true" outlineLevel="0" collapsed="false">
      <c r="A18" s="71"/>
      <c r="B18" s="256"/>
      <c r="C18" s="71" t="s">
        <v>218</v>
      </c>
      <c r="D18" s="64"/>
      <c r="E18" s="25"/>
      <c r="F18" s="277" t="n">
        <v>43.8</v>
      </c>
      <c r="G18" s="277"/>
      <c r="H18" s="277" t="n">
        <v>48</v>
      </c>
      <c r="I18" s="278"/>
      <c r="J18" s="78" t="n">
        <v>0.1</v>
      </c>
      <c r="K18" s="215"/>
    </row>
    <row r="19" s="14" customFormat="true" ht="21" hidden="false" customHeight="true" outlineLevel="0" collapsed="false">
      <c r="A19" s="71"/>
      <c r="B19" s="256" t="s">
        <v>231</v>
      </c>
      <c r="C19" s="71"/>
      <c r="D19" s="64"/>
      <c r="E19" s="25"/>
      <c r="F19" s="277"/>
      <c r="G19" s="277"/>
      <c r="H19" s="277"/>
      <c r="I19" s="278"/>
      <c r="J19" s="78"/>
      <c r="K19" s="215"/>
    </row>
    <row r="20" s="14" customFormat="true" ht="21" hidden="false" customHeight="true" outlineLevel="0" collapsed="false">
      <c r="A20" s="71"/>
      <c r="B20" s="256"/>
      <c r="C20" s="71" t="s">
        <v>217</v>
      </c>
      <c r="D20" s="64"/>
      <c r="E20" s="25"/>
      <c r="F20" s="40" t="n">
        <v>87.9</v>
      </c>
      <c r="G20" s="40"/>
      <c r="H20" s="40" t="n">
        <v>100.2</v>
      </c>
      <c r="I20" s="278"/>
      <c r="J20" s="78" t="n">
        <v>0.14</v>
      </c>
      <c r="K20" s="215"/>
    </row>
    <row r="21" s="14" customFormat="true" ht="21" hidden="false" customHeight="true" outlineLevel="0" collapsed="false">
      <c r="A21" s="71"/>
      <c r="B21" s="256"/>
      <c r="C21" s="71" t="s">
        <v>218</v>
      </c>
      <c r="D21" s="64"/>
      <c r="E21" s="25"/>
      <c r="F21" s="277" t="n">
        <v>46</v>
      </c>
      <c r="G21" s="277"/>
      <c r="H21" s="277" t="n">
        <v>50.5</v>
      </c>
      <c r="I21" s="278"/>
      <c r="J21" s="78" t="n">
        <v>0.1</v>
      </c>
      <c r="K21" s="215"/>
    </row>
    <row r="22" s="14" customFormat="true" ht="21" hidden="false" customHeight="true" outlineLevel="0" collapsed="false">
      <c r="A22" s="71"/>
      <c r="B22" s="256" t="s">
        <v>232</v>
      </c>
      <c r="C22" s="71"/>
      <c r="D22" s="64"/>
      <c r="E22" s="25"/>
      <c r="F22" s="277"/>
      <c r="G22" s="277"/>
      <c r="H22" s="277"/>
      <c r="I22" s="278"/>
      <c r="J22" s="78"/>
      <c r="K22" s="215"/>
    </row>
    <row r="23" s="14" customFormat="true" ht="21" hidden="false" customHeight="true" outlineLevel="0" collapsed="false">
      <c r="A23" s="71"/>
      <c r="B23" s="256"/>
      <c r="C23" s="71" t="s">
        <v>217</v>
      </c>
      <c r="D23" s="64"/>
      <c r="E23" s="25"/>
      <c r="F23" s="279" t="n">
        <v>0.0893</v>
      </c>
      <c r="G23" s="40"/>
      <c r="H23" s="279" t="n">
        <v>0.0897</v>
      </c>
      <c r="I23" s="278"/>
      <c r="J23" s="78"/>
      <c r="K23" s="215"/>
    </row>
    <row r="24" s="14" customFormat="true" ht="21" hidden="false" customHeight="true" outlineLevel="0" collapsed="false">
      <c r="A24" s="71"/>
      <c r="B24" s="256"/>
      <c r="C24" s="71" t="s">
        <v>218</v>
      </c>
      <c r="D24" s="64"/>
      <c r="E24" s="25"/>
      <c r="F24" s="279" t="n">
        <v>0.1655</v>
      </c>
      <c r="G24" s="277"/>
      <c r="H24" s="279" t="n">
        <v>0.1692</v>
      </c>
      <c r="I24" s="278"/>
      <c r="J24" s="78"/>
      <c r="K24" s="215"/>
    </row>
    <row r="25" s="14" customFormat="true" ht="21" hidden="false" customHeight="true" outlineLevel="0" collapsed="false">
      <c r="A25" s="71"/>
      <c r="B25" s="256" t="s">
        <v>233</v>
      </c>
      <c r="C25" s="71"/>
      <c r="D25" s="64"/>
      <c r="E25" s="25"/>
      <c r="F25" s="277"/>
      <c r="G25" s="277"/>
      <c r="H25" s="277"/>
      <c r="I25" s="278"/>
      <c r="J25" s="78"/>
      <c r="K25" s="215"/>
    </row>
    <row r="26" s="14" customFormat="true" ht="21" hidden="false" customHeight="true" outlineLevel="0" collapsed="false">
      <c r="A26" s="71"/>
      <c r="B26" s="256"/>
      <c r="C26" s="71" t="s">
        <v>217</v>
      </c>
      <c r="D26" s="64"/>
      <c r="E26" s="25"/>
      <c r="F26" s="279" t="n">
        <v>0.0133</v>
      </c>
      <c r="G26" s="40"/>
      <c r="H26" s="279" t="n">
        <v>0.0168</v>
      </c>
      <c r="I26" s="278"/>
      <c r="J26" s="78"/>
      <c r="K26" s="215"/>
    </row>
    <row r="27" s="14" customFormat="true" ht="22.5" hidden="false" customHeight="true" outlineLevel="0" collapsed="false">
      <c r="A27" s="71"/>
      <c r="B27" s="256"/>
      <c r="C27" s="71" t="s">
        <v>218</v>
      </c>
      <c r="D27" s="64"/>
      <c r="E27" s="25"/>
      <c r="F27" s="279" t="n">
        <v>0.021</v>
      </c>
      <c r="G27" s="277"/>
      <c r="H27" s="279" t="n">
        <v>0.033</v>
      </c>
      <c r="I27" s="278"/>
      <c r="J27" s="78"/>
      <c r="K27" s="215"/>
    </row>
    <row r="28" s="14" customFormat="true" ht="21" hidden="false" customHeight="true" outlineLevel="0" collapsed="false">
      <c r="A28" s="71"/>
      <c r="B28" s="256" t="s">
        <v>234</v>
      </c>
      <c r="C28" s="71"/>
      <c r="D28" s="64"/>
      <c r="E28" s="25"/>
      <c r="F28" s="277"/>
      <c r="G28" s="277"/>
      <c r="H28" s="277"/>
      <c r="I28" s="278"/>
      <c r="J28" s="78"/>
      <c r="K28" s="215"/>
    </row>
    <row r="29" s="14" customFormat="true" ht="21" hidden="false" customHeight="true" outlineLevel="0" collapsed="false">
      <c r="A29" s="71"/>
      <c r="B29" s="256"/>
      <c r="C29" s="71" t="s">
        <v>217</v>
      </c>
      <c r="D29" s="64"/>
      <c r="E29" s="25"/>
      <c r="F29" s="279" t="n">
        <v>0.0044</v>
      </c>
      <c r="G29" s="40"/>
      <c r="H29" s="279" t="n">
        <v>0.0063</v>
      </c>
      <c r="I29" s="278"/>
      <c r="J29" s="78"/>
      <c r="K29" s="215"/>
    </row>
    <row r="30" s="14" customFormat="true" ht="21" hidden="false" customHeight="true" outlineLevel="0" collapsed="false">
      <c r="A30" s="71"/>
      <c r="B30" s="256"/>
      <c r="C30" s="71" t="s">
        <v>218</v>
      </c>
      <c r="D30" s="64"/>
      <c r="E30" s="25"/>
      <c r="F30" s="279" t="n">
        <v>0.0105</v>
      </c>
      <c r="G30" s="277"/>
      <c r="H30" s="279" t="n">
        <v>0.0156</v>
      </c>
      <c r="I30" s="278"/>
      <c r="J30" s="78"/>
      <c r="K30" s="215"/>
    </row>
    <row r="31" s="14" customFormat="true" ht="21" hidden="false" customHeight="true" outlineLevel="0" collapsed="false">
      <c r="A31" s="71"/>
      <c r="B31" s="256" t="s">
        <v>235</v>
      </c>
      <c r="C31" s="71"/>
      <c r="D31" s="64"/>
      <c r="E31" s="25"/>
      <c r="F31" s="277"/>
      <c r="G31" s="277"/>
      <c r="H31" s="277"/>
      <c r="I31" s="278"/>
      <c r="J31" s="78"/>
      <c r="K31" s="215"/>
    </row>
    <row r="32" s="14" customFormat="true" ht="21" hidden="false" customHeight="true" outlineLevel="0" collapsed="false">
      <c r="A32" s="71"/>
      <c r="B32" s="256"/>
      <c r="C32" s="71" t="s">
        <v>217</v>
      </c>
      <c r="D32" s="64"/>
      <c r="E32" s="25"/>
      <c r="F32" s="279" t="n">
        <v>0.0046</v>
      </c>
      <c r="G32" s="40"/>
      <c r="H32" s="279" t="n">
        <v>0.0069</v>
      </c>
      <c r="I32" s="278"/>
      <c r="J32" s="78"/>
      <c r="K32" s="215"/>
    </row>
    <row r="33" s="14" customFormat="true" ht="21" hidden="false" customHeight="true" outlineLevel="0" collapsed="false">
      <c r="A33" s="71"/>
      <c r="B33" s="256"/>
      <c r="C33" s="71" t="s">
        <v>218</v>
      </c>
      <c r="D33" s="64"/>
      <c r="E33" s="25"/>
      <c r="F33" s="279" t="n">
        <v>0.0117</v>
      </c>
      <c r="G33" s="277"/>
      <c r="H33" s="279" t="n">
        <v>0.0162</v>
      </c>
      <c r="I33" s="278"/>
      <c r="J33" s="78"/>
      <c r="K33" s="215"/>
    </row>
    <row r="34" s="14" customFormat="true" ht="21" hidden="false" customHeight="true" outlineLevel="0" collapsed="false">
      <c r="A34" s="71"/>
      <c r="B34" s="256"/>
      <c r="C34" s="71"/>
      <c r="D34" s="64"/>
      <c r="E34" s="25"/>
      <c r="F34" s="277"/>
      <c r="G34" s="277"/>
      <c r="H34" s="277"/>
      <c r="I34" s="278"/>
      <c r="J34" s="78"/>
      <c r="K34" s="215"/>
    </row>
    <row r="35" s="14" customFormat="true" ht="21" hidden="false" customHeight="true" outlineLevel="0" collapsed="false">
      <c r="A35" s="71"/>
      <c r="B35" s="256" t="s">
        <v>236</v>
      </c>
      <c r="C35" s="71"/>
      <c r="D35" s="64"/>
      <c r="E35" s="25"/>
      <c r="F35" s="82" t="n">
        <v>114</v>
      </c>
      <c r="G35" s="280"/>
      <c r="H35" s="82" t="n">
        <v>111</v>
      </c>
      <c r="I35" s="278"/>
      <c r="J35" s="78" t="n">
        <v>-0.03</v>
      </c>
      <c r="K35" s="215"/>
    </row>
    <row r="36" s="14" customFormat="true" ht="21" hidden="false" customHeight="true" outlineLevel="0" collapsed="false">
      <c r="A36" s="71"/>
      <c r="B36" s="256" t="s">
        <v>237</v>
      </c>
      <c r="C36" s="71"/>
      <c r="D36" s="64"/>
      <c r="E36" s="25"/>
      <c r="F36" s="273" t="n">
        <v>658</v>
      </c>
      <c r="G36" s="88"/>
      <c r="H36" s="273" t="n">
        <v>654</v>
      </c>
      <c r="I36" s="142"/>
      <c r="J36" s="78" t="n">
        <v>-0.01</v>
      </c>
      <c r="K36" s="215"/>
    </row>
    <row r="37" s="14" customFormat="true" ht="18" hidden="false" customHeight="true" outlineLevel="0" collapsed="false">
      <c r="A37" s="71"/>
      <c r="B37" s="256" t="s">
        <v>238</v>
      </c>
      <c r="C37" s="71"/>
      <c r="D37" s="64"/>
      <c r="E37" s="25"/>
      <c r="F37" s="40" t="n">
        <v>3.4</v>
      </c>
      <c r="G37" s="275"/>
      <c r="H37" s="40" t="n">
        <v>2.7</v>
      </c>
      <c r="I37" s="276"/>
      <c r="J37" s="78" t="n">
        <v>-0.21</v>
      </c>
      <c r="K37" s="215"/>
    </row>
    <row r="38" s="14" customFormat="true" ht="18" hidden="false" customHeight="true" outlineLevel="0" collapsed="false">
      <c r="A38" s="71"/>
      <c r="B38" s="256"/>
      <c r="C38" s="256"/>
      <c r="D38" s="64"/>
      <c r="E38" s="25"/>
      <c r="F38" s="281"/>
      <c r="G38" s="198"/>
      <c r="H38" s="281"/>
      <c r="I38" s="142"/>
      <c r="J38" s="78"/>
      <c r="K38" s="215"/>
    </row>
    <row r="39" s="14" customFormat="true" ht="18" hidden="false" customHeight="true" outlineLevel="0" collapsed="false">
      <c r="A39" s="71"/>
      <c r="B39" s="256"/>
      <c r="C39" s="256"/>
      <c r="D39" s="64"/>
      <c r="E39" s="25"/>
      <c r="F39" s="281"/>
      <c r="G39" s="198"/>
      <c r="H39" s="281"/>
      <c r="I39" s="142"/>
      <c r="J39" s="78"/>
      <c r="K39" s="215"/>
    </row>
    <row r="40" s="14" customFormat="true" ht="18" hidden="false" customHeight="true" outlineLevel="0" collapsed="false">
      <c r="A40" s="71"/>
      <c r="B40" s="272" t="s">
        <v>239</v>
      </c>
      <c r="C40" s="64"/>
      <c r="D40" s="64"/>
      <c r="E40" s="25"/>
      <c r="F40" s="82"/>
      <c r="G40" s="202"/>
      <c r="H40" s="82"/>
      <c r="I40" s="142"/>
      <c r="J40" s="78"/>
      <c r="K40" s="215"/>
    </row>
    <row r="41" s="14" customFormat="true" ht="18" hidden="false" customHeight="true" outlineLevel="0" collapsed="false">
      <c r="A41" s="71"/>
      <c r="B41" s="256" t="s">
        <v>240</v>
      </c>
      <c r="C41" s="71"/>
      <c r="D41" s="64"/>
      <c r="E41" s="25"/>
      <c r="F41" s="82" t="n">
        <v>814</v>
      </c>
      <c r="G41" s="82"/>
      <c r="H41" s="82" t="n">
        <v>746</v>
      </c>
      <c r="I41" s="142"/>
      <c r="J41" s="78" t="n">
        <v>-0.08</v>
      </c>
      <c r="K41" s="215"/>
    </row>
    <row r="42" s="14" customFormat="true" ht="18" hidden="false" customHeight="true" outlineLevel="0" collapsed="false">
      <c r="A42" s="71"/>
      <c r="B42" s="256" t="s">
        <v>241</v>
      </c>
      <c r="C42" s="71"/>
      <c r="D42" s="64"/>
      <c r="E42" s="25"/>
      <c r="F42" s="84" t="n">
        <v>150</v>
      </c>
      <c r="G42" s="84"/>
      <c r="H42" s="84" t="n">
        <v>150</v>
      </c>
      <c r="I42" s="142"/>
      <c r="J42" s="78" t="s">
        <v>36</v>
      </c>
      <c r="K42" s="215"/>
    </row>
    <row r="43" s="14" customFormat="true" ht="18" hidden="false" customHeight="true" outlineLevel="0" collapsed="false">
      <c r="A43" s="71"/>
      <c r="B43" s="256" t="s">
        <v>236</v>
      </c>
      <c r="C43" s="71"/>
      <c r="D43" s="64"/>
      <c r="E43" s="25"/>
      <c r="F43" s="84" t="n">
        <v>323</v>
      </c>
      <c r="G43" s="84"/>
      <c r="H43" s="84" t="n">
        <v>320</v>
      </c>
      <c r="I43" s="142"/>
      <c r="J43" s="78" t="n">
        <v>-0.01</v>
      </c>
      <c r="K43" s="215"/>
    </row>
    <row r="44" customFormat="false" ht="20.25" hidden="false" customHeight="true" outlineLevel="0" collapsed="false">
      <c r="A44" s="64"/>
      <c r="B44" s="256" t="s">
        <v>242</v>
      </c>
      <c r="C44" s="178"/>
      <c r="D44" s="64"/>
      <c r="E44" s="200"/>
      <c r="F44" s="277" t="n">
        <v>3.5</v>
      </c>
      <c r="G44" s="277"/>
      <c r="H44" s="277" t="n">
        <v>2.5</v>
      </c>
      <c r="I44" s="143"/>
      <c r="J44" s="78" t="n">
        <v>-0.29</v>
      </c>
      <c r="K44" s="162"/>
    </row>
    <row r="45" customFormat="false" ht="18" hidden="false" customHeight="true" outlineLevel="0" collapsed="false">
      <c r="A45" s="64"/>
      <c r="B45" s="172"/>
      <c r="C45" s="173"/>
      <c r="D45" s="173"/>
      <c r="E45" s="179"/>
      <c r="F45" s="198"/>
      <c r="G45" s="195"/>
      <c r="H45" s="198"/>
      <c r="I45" s="195"/>
      <c r="J45" s="78"/>
      <c r="K45" s="282"/>
    </row>
    <row r="46" customFormat="false" ht="18" hidden="false" customHeight="true" outlineLevel="0" collapsed="false">
      <c r="A46" s="64"/>
      <c r="B46" s="58"/>
      <c r="C46" s="59"/>
      <c r="D46" s="60"/>
      <c r="E46" s="60"/>
      <c r="F46" s="108"/>
      <c r="G46" s="108"/>
      <c r="H46" s="108"/>
      <c r="I46" s="108"/>
      <c r="J46" s="109"/>
      <c r="K46" s="282"/>
    </row>
    <row r="47" customFormat="false" ht="18" hidden="false" customHeight="true" outlineLevel="0" collapsed="false">
      <c r="A47" s="64"/>
      <c r="B47" s="172"/>
      <c r="C47" s="173"/>
      <c r="D47" s="173"/>
      <c r="E47" s="179"/>
      <c r="F47" s="198"/>
      <c r="G47" s="195"/>
      <c r="H47" s="198"/>
      <c r="I47" s="195"/>
      <c r="J47" s="78"/>
      <c r="K47" s="282"/>
    </row>
    <row r="48" customFormat="false" ht="18" hidden="false" customHeight="true" outlineLevel="0" collapsed="false">
      <c r="A48" s="64"/>
      <c r="B48" s="64" t="s">
        <v>61</v>
      </c>
      <c r="C48" s="64" t="s">
        <v>243</v>
      </c>
      <c r="D48" s="173"/>
      <c r="E48" s="179"/>
      <c r="F48" s="198"/>
      <c r="G48" s="195"/>
      <c r="H48" s="198"/>
      <c r="I48" s="195"/>
      <c r="J48" s="78"/>
      <c r="K48" s="282"/>
    </row>
    <row r="49" customFormat="false" ht="18" hidden="false" customHeight="true" outlineLevel="0" collapsed="false">
      <c r="A49" s="64"/>
      <c r="B49" s="64" t="s">
        <v>63</v>
      </c>
      <c r="C49" s="64" t="s">
        <v>244</v>
      </c>
      <c r="D49" s="64"/>
      <c r="E49" s="200"/>
      <c r="F49" s="64"/>
      <c r="G49" s="216"/>
      <c r="H49" s="64"/>
      <c r="I49" s="216"/>
      <c r="J49" s="78"/>
      <c r="K49" s="217"/>
    </row>
    <row r="50" customFormat="false" ht="18" hidden="false" customHeight="true" outlineLevel="0" collapsed="false">
      <c r="A50" s="64"/>
      <c r="B50" s="64"/>
      <c r="C50" s="71"/>
      <c r="D50" s="64"/>
      <c r="E50" s="64"/>
      <c r="F50" s="216"/>
      <c r="G50" s="216"/>
      <c r="H50" s="216"/>
      <c r="I50" s="216"/>
      <c r="J50" s="78"/>
      <c r="K50" s="217"/>
    </row>
    <row r="51" customFormat="false" ht="18" hidden="false" customHeight="true" outlineLevel="0" collapsed="false">
      <c r="A51" s="64"/>
      <c r="B51" s="64" t="s">
        <v>72</v>
      </c>
      <c r="C51" s="64"/>
      <c r="D51" s="64"/>
      <c r="E51" s="64"/>
      <c r="F51" s="216"/>
      <c r="G51" s="216"/>
      <c r="H51" s="216"/>
      <c r="I51" s="216"/>
      <c r="J51" s="78"/>
      <c r="K51" s="217"/>
    </row>
    <row r="52" customFormat="false" ht="18" hidden="false" customHeight="true" outlineLevel="0" collapsed="false">
      <c r="A52" s="64"/>
      <c r="C52" s="64"/>
      <c r="D52" s="64"/>
      <c r="E52" s="64"/>
      <c r="F52" s="216"/>
      <c r="G52" s="216"/>
      <c r="H52" s="216"/>
      <c r="I52" s="216"/>
      <c r="J52" s="78"/>
      <c r="K52" s="217"/>
    </row>
    <row r="53" customFormat="false" ht="19.35" hidden="false" customHeight="false" outlineLevel="0" collapsed="false">
      <c r="A53" s="64"/>
      <c r="B53" s="64"/>
      <c r="C53" s="64"/>
      <c r="D53" s="64"/>
      <c r="E53" s="64"/>
      <c r="F53" s="216"/>
      <c r="G53" s="216"/>
      <c r="H53" s="216"/>
      <c r="I53" s="216"/>
      <c r="J53" s="78"/>
      <c r="K53" s="217"/>
    </row>
    <row r="54" customFormat="false" ht="19.35" hidden="false" customHeight="false" outlineLevel="0" collapsed="false">
      <c r="A54" s="64"/>
      <c r="B54" s="64"/>
      <c r="C54" s="64"/>
      <c r="D54" s="64"/>
      <c r="E54" s="64"/>
      <c r="F54" s="216"/>
      <c r="G54" s="216"/>
      <c r="H54" s="216"/>
      <c r="I54" s="216"/>
      <c r="J54" s="78"/>
      <c r="K54" s="217"/>
    </row>
    <row r="55" customFormat="false" ht="19.35" hidden="false" customHeight="false" outlineLevel="0" collapsed="false">
      <c r="A55" s="64"/>
      <c r="B55" s="64"/>
      <c r="C55" s="64"/>
      <c r="D55" s="64"/>
      <c r="E55" s="64"/>
      <c r="F55" s="216"/>
      <c r="G55" s="216"/>
      <c r="H55" s="216"/>
      <c r="I55" s="216"/>
      <c r="J55" s="78"/>
      <c r="K55" s="217"/>
    </row>
    <row r="56" customFormat="false" ht="19.35" hidden="false" customHeight="false" outlineLevel="0" collapsed="false">
      <c r="A56" s="64"/>
      <c r="B56" s="64"/>
      <c r="C56" s="64"/>
      <c r="D56" s="64"/>
      <c r="E56" s="64"/>
      <c r="F56" s="216"/>
      <c r="G56" s="216"/>
      <c r="H56" s="216"/>
      <c r="I56" s="216"/>
      <c r="J56" s="78"/>
      <c r="K56" s="217"/>
    </row>
    <row r="57" customFormat="false" ht="19.35" hidden="false" customHeight="false" outlineLevel="0" collapsed="false"/>
    <row r="58" customFormat="false" ht="19.35" hidden="false" customHeight="false" outlineLevel="0" collapsed="false"/>
    <row r="59" customFormat="false" ht="19.35" hidden="false" customHeight="false" outlineLevel="0" collapsed="false"/>
    <row r="60" customFormat="false" ht="19.35" hidden="false" customHeight="false" outlineLevel="0" collapsed="false"/>
    <row r="61" customFormat="false" ht="19.35" hidden="false" customHeight="false" outlineLevel="0" collapsed="false"/>
    <row r="62" customFormat="false" ht="19.35" hidden="false" customHeight="false" outlineLevel="0" collapsed="false"/>
    <row r="63" customFormat="false" ht="19.35" hidden="false" customHeight="false" outlineLevel="0" collapsed="false"/>
    <row r="64" customFormat="false" ht="19.35" hidden="false" customHeight="false" outlineLevel="0" collapsed="false"/>
    <row r="65" customFormat="false" ht="19.35" hidden="false" customHeight="false" outlineLevel="0" collapsed="false"/>
    <row r="66" customFormat="false" ht="19.35" hidden="false" customHeight="false" outlineLevel="0" collapsed="false"/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F5" activeCellId="0" sqref="F5:J5 F5:J5"/>
    </sheetView>
  </sheetViews>
  <sheetFormatPr defaultColWidth="8.82421875" defaultRowHeight="17" zeroHeight="false" outlineLevelRow="0" outlineLevelCol="0"/>
  <cols>
    <col collapsed="false" customWidth="true" hidden="false" outlineLevel="0" max="3" min="1" style="152" width="4.82"/>
    <col collapsed="false" customWidth="true" hidden="false" outlineLevel="0" max="4" min="4" style="152" width="100.82"/>
    <col collapsed="false" customWidth="true" hidden="false" outlineLevel="0" max="5" min="5" style="152" width="7.32"/>
    <col collapsed="false" customWidth="true" hidden="false" outlineLevel="0" max="6" min="6" style="152" width="18.82"/>
    <col collapsed="false" customWidth="true" hidden="false" outlineLevel="0" max="7" min="7" style="153" width="3.82"/>
    <col collapsed="false" customWidth="true" hidden="false" outlineLevel="0" max="8" min="8" style="153" width="14.99"/>
    <col collapsed="false" customWidth="true" hidden="false" outlineLevel="0" max="9" min="9" style="153" width="2.82"/>
    <col collapsed="false" customWidth="true" hidden="false" outlineLevel="0" max="10" min="10" style="152" width="29.49"/>
    <col collapsed="false" customWidth="true" hidden="false" outlineLevel="0" max="11" min="11" style="152" width="5.15"/>
    <col collapsed="false" customWidth="true" hidden="false" outlineLevel="0" max="12" min="12" style="152" width="2.82"/>
    <col collapsed="false" customWidth="false" hidden="false" outlineLevel="0" max="83" min="13" style="152" width="8.82"/>
    <col collapsed="false" customWidth="true" hidden="false" outlineLevel="0" max="86" min="84" style="152" width="4.82"/>
    <col collapsed="false" customWidth="true" hidden="false" outlineLevel="0" max="87" min="87" style="152" width="100.82"/>
    <col collapsed="false" customWidth="true" hidden="false" outlineLevel="0" max="88" min="88" style="152" width="2.82"/>
    <col collapsed="false" customWidth="true" hidden="false" outlineLevel="0" max="118" min="89" style="152" width="9.32"/>
    <col collapsed="false" customWidth="true" hidden="false" outlineLevel="0" max="119" min="119" style="152" width="18.82"/>
    <col collapsed="false" customWidth="true" hidden="false" outlineLevel="0" max="120" min="120" style="152" width="2.82"/>
    <col collapsed="false" customWidth="true" hidden="false" outlineLevel="0" max="121" min="121" style="152" width="18.82"/>
    <col collapsed="false" customWidth="true" hidden="false" outlineLevel="0" max="122" min="122" style="152" width="2.82"/>
    <col collapsed="false" customWidth="true" hidden="false" outlineLevel="0" max="123" min="123" style="152" width="18.82"/>
    <col collapsed="false" customWidth="true" hidden="false" outlineLevel="0" max="124" min="124" style="152" width="1.99"/>
    <col collapsed="false" customWidth="true" hidden="false" outlineLevel="0" max="125" min="125" style="152" width="14.82"/>
    <col collapsed="false" customWidth="true" hidden="false" outlineLevel="0" max="126" min="126" style="152" width="3.82"/>
    <col collapsed="false" customWidth="true" hidden="false" outlineLevel="0" max="127" min="127" style="152" width="14.99"/>
    <col collapsed="false" customWidth="true" hidden="false" outlineLevel="0" max="128" min="128" style="152" width="2.82"/>
    <col collapsed="false" customWidth="true" hidden="false" outlineLevel="0" max="129" min="129" style="152" width="18.82"/>
    <col collapsed="false" customWidth="true" hidden="false" outlineLevel="0" max="130" min="130" style="152" width="2.82"/>
    <col collapsed="false" customWidth="true" hidden="false" outlineLevel="0" max="131" min="131" style="152" width="18.82"/>
    <col collapsed="false" customWidth="true" hidden="false" outlineLevel="0" max="132" min="132" style="152" width="5.15"/>
    <col collapsed="false" customWidth="true" hidden="false" outlineLevel="0" max="139" min="133" style="152" width="9.32"/>
    <col collapsed="false" customWidth="true" hidden="false" outlineLevel="0" max="140" min="140" style="152" width="5.15"/>
    <col collapsed="false" customWidth="true" hidden="false" outlineLevel="0" max="141" min="141" style="152" width="18.82"/>
    <col collapsed="false" customWidth="true" hidden="false" outlineLevel="0" max="142" min="142" style="152" width="2.82"/>
    <col collapsed="false" customWidth="true" hidden="false" outlineLevel="0" max="143" min="143" style="152" width="18.82"/>
    <col collapsed="false" customWidth="true" hidden="false" outlineLevel="0" max="144" min="144" style="152" width="2.82"/>
    <col collapsed="false" customWidth="true" hidden="false" outlineLevel="0" max="145" min="145" style="152" width="28.82"/>
    <col collapsed="false" customWidth="true" hidden="false" outlineLevel="0" max="146" min="146" style="152" width="2.82"/>
    <col collapsed="false" customWidth="true" hidden="false" outlineLevel="0" max="147" min="147" style="152" width="25.32"/>
    <col collapsed="false" customWidth="true" hidden="false" outlineLevel="0" max="148" min="148" style="152" width="17.99"/>
    <col collapsed="false" customWidth="true" hidden="false" outlineLevel="0" max="151" min="149" style="152" width="14.15"/>
    <col collapsed="false" customWidth="true" hidden="false" outlineLevel="0" max="152" min="152" style="152" width="16.49"/>
    <col collapsed="false" customWidth="true" hidden="false" outlineLevel="0" max="153" min="153" style="152" width="18.32"/>
    <col collapsed="false" customWidth="true" hidden="false" outlineLevel="0" max="155" min="154" style="152" width="14.65"/>
    <col collapsed="false" customWidth="true" hidden="false" outlineLevel="0" max="156" min="156" style="152" width="14.32"/>
    <col collapsed="false" customWidth="true" hidden="false" outlineLevel="0" max="157" min="157" style="152" width="20.82"/>
    <col collapsed="false" customWidth="true" hidden="false" outlineLevel="0" max="158" min="158" style="152" width="16.49"/>
    <col collapsed="false" customWidth="true" hidden="false" outlineLevel="0" max="159" min="159" style="152" width="19.49"/>
    <col collapsed="false" customWidth="true" hidden="false" outlineLevel="0" max="160" min="160" style="152" width="18.15"/>
    <col collapsed="false" customWidth="true" hidden="false" outlineLevel="0" max="161" min="161" style="152" width="20.49"/>
    <col collapsed="false" customWidth="true" hidden="false" outlineLevel="0" max="162" min="162" style="152" width="22.65"/>
    <col collapsed="false" customWidth="true" hidden="false" outlineLevel="0" max="164" min="163" style="152" width="9.32"/>
    <col collapsed="false" customWidth="false" hidden="false" outlineLevel="0" max="257" min="165" style="152" width="8.82"/>
  </cols>
  <sheetData>
    <row r="1" customFormat="false" ht="18" hidden="false" customHeight="true" outlineLevel="0" collapsed="false">
      <c r="D1" s="154"/>
      <c r="E1" s="155"/>
      <c r="F1" s="154"/>
      <c r="G1" s="156"/>
      <c r="H1" s="156"/>
      <c r="I1" s="156"/>
      <c r="J1" s="116"/>
      <c r="K1" s="116"/>
      <c r="L1" s="14"/>
    </row>
    <row r="2" customFormat="false" ht="20.1" hidden="false" customHeight="true" outlineLevel="0" collapsed="false">
      <c r="B2" s="262" t="s">
        <v>245</v>
      </c>
      <c r="C2" s="157"/>
      <c r="D2" s="158"/>
      <c r="E2" s="155"/>
      <c r="F2" s="158"/>
      <c r="G2" s="158"/>
      <c r="H2" s="158"/>
      <c r="I2" s="158"/>
      <c r="J2" s="261"/>
      <c r="K2" s="261"/>
      <c r="L2" s="14"/>
    </row>
    <row r="3" customFormat="false" ht="18" hidden="false" customHeight="true" outlineLevel="0" collapsed="false">
      <c r="B3" s="64" t="s">
        <v>141</v>
      </c>
      <c r="C3" s="157"/>
      <c r="D3" s="158"/>
      <c r="E3" s="161"/>
      <c r="F3" s="158"/>
      <c r="G3" s="160"/>
      <c r="H3" s="160"/>
      <c r="I3" s="160"/>
      <c r="J3" s="122"/>
      <c r="K3" s="122"/>
      <c r="L3" s="71"/>
    </row>
    <row r="4" customFormat="false" ht="18" hidden="false" customHeight="true" outlineLevel="0" collapsed="false">
      <c r="B4" s="64"/>
      <c r="C4" s="157"/>
      <c r="D4" s="158"/>
      <c r="E4" s="161"/>
      <c r="F4" s="158"/>
      <c r="G4" s="160"/>
      <c r="H4" s="160"/>
      <c r="I4" s="160"/>
      <c r="J4" s="122"/>
      <c r="K4" s="122"/>
      <c r="L4" s="71"/>
    </row>
    <row r="5" customFormat="false" ht="49.95" hidden="false" customHeight="false" outlineLevel="0" collapsed="false">
      <c r="A5" s="64"/>
      <c r="B5" s="64"/>
      <c r="C5" s="64"/>
      <c r="D5" s="64"/>
      <c r="E5" s="162"/>
      <c r="F5" s="26" t="s">
        <v>2</v>
      </c>
      <c r="G5" s="73"/>
      <c r="H5" s="26" t="s">
        <v>1</v>
      </c>
      <c r="I5" s="74"/>
      <c r="J5" s="28" t="s">
        <v>3</v>
      </c>
      <c r="K5" s="74"/>
      <c r="L5" s="71"/>
    </row>
    <row r="6" customFormat="false" ht="18" hidden="false" customHeight="true" outlineLevel="0" collapsed="false">
      <c r="A6" s="64"/>
      <c r="B6" s="64"/>
      <c r="C6" s="64"/>
      <c r="D6" s="64"/>
      <c r="E6" s="162"/>
      <c r="F6" s="74"/>
      <c r="G6" s="163"/>
      <c r="H6" s="74"/>
      <c r="I6" s="163"/>
      <c r="J6" s="74"/>
      <c r="K6" s="74"/>
      <c r="L6" s="73"/>
    </row>
    <row r="7" s="14" customFormat="true" ht="18" hidden="false" customHeight="true" outlineLevel="0" collapsed="false">
      <c r="A7" s="71"/>
      <c r="B7" s="39" t="s">
        <v>179</v>
      </c>
      <c r="C7" s="71"/>
      <c r="D7" s="71"/>
      <c r="E7" s="73"/>
      <c r="F7" s="102" t="n">
        <v>1534</v>
      </c>
      <c r="G7" s="265"/>
      <c r="H7" s="102" t="n">
        <v>1324</v>
      </c>
      <c r="I7" s="265"/>
      <c r="J7" s="78" t="n">
        <v>-0.14</v>
      </c>
      <c r="K7" s="283"/>
      <c r="L7" s="71"/>
    </row>
    <row r="8" s="14" customFormat="true" ht="18" hidden="false" customHeight="true" outlineLevel="0" collapsed="false">
      <c r="A8" s="71"/>
      <c r="B8" s="39" t="s">
        <v>246</v>
      </c>
      <c r="C8" s="71"/>
      <c r="D8" s="71"/>
      <c r="E8" s="73"/>
      <c r="F8" s="266" t="n">
        <v>659</v>
      </c>
      <c r="G8" s="73"/>
      <c r="H8" s="266" t="n">
        <v>728</v>
      </c>
      <c r="I8" s="73"/>
      <c r="J8" s="78" t="n">
        <v>0.1</v>
      </c>
      <c r="K8" s="283"/>
      <c r="L8" s="71"/>
    </row>
    <row r="9" customFormat="false" ht="18" hidden="false" customHeight="true" outlineLevel="0" collapsed="false">
      <c r="A9" s="64"/>
      <c r="B9" s="172" t="s">
        <v>210</v>
      </c>
      <c r="C9" s="173"/>
      <c r="D9" s="174"/>
      <c r="E9" s="175"/>
      <c r="F9" s="176" t="n">
        <v>2193</v>
      </c>
      <c r="G9" s="175"/>
      <c r="H9" s="176" t="n">
        <v>2052</v>
      </c>
      <c r="I9" s="175"/>
      <c r="J9" s="93" t="n">
        <v>-0.06</v>
      </c>
      <c r="K9" s="227"/>
      <c r="L9" s="73"/>
    </row>
    <row r="10" customFormat="false" ht="18" hidden="false" customHeight="true" outlineLevel="0" collapsed="false">
      <c r="A10" s="64"/>
      <c r="B10" s="178" t="s">
        <v>247</v>
      </c>
      <c r="C10" s="173"/>
      <c r="D10" s="173"/>
      <c r="E10" s="179"/>
      <c r="F10" s="180" t="n">
        <v>2971</v>
      </c>
      <c r="G10" s="175"/>
      <c r="H10" s="180" t="n">
        <v>1830</v>
      </c>
      <c r="I10" s="175"/>
      <c r="J10" s="78" t="n">
        <v>-0.38</v>
      </c>
      <c r="K10" s="215"/>
      <c r="L10" s="162"/>
    </row>
    <row r="11" customFormat="false" ht="26.25" hidden="false" customHeight="true" outlineLevel="0" collapsed="false">
      <c r="A11" s="64"/>
      <c r="B11" s="178"/>
      <c r="C11" s="178" t="s">
        <v>147</v>
      </c>
      <c r="D11" s="173"/>
      <c r="E11" s="179"/>
      <c r="F11" s="180" t="n">
        <v>216</v>
      </c>
      <c r="G11" s="175"/>
      <c r="H11" s="180" t="n">
        <v>168</v>
      </c>
      <c r="I11" s="175"/>
      <c r="J11" s="78" t="n">
        <v>-0.22</v>
      </c>
      <c r="K11" s="215"/>
      <c r="L11" s="73"/>
    </row>
    <row r="12" customFormat="false" ht="18" hidden="false" customHeight="true" outlineLevel="0" collapsed="false">
      <c r="A12" s="64"/>
      <c r="B12" s="178"/>
      <c r="C12" s="178" t="s">
        <v>40</v>
      </c>
      <c r="D12" s="173"/>
      <c r="E12" s="179"/>
      <c r="F12" s="180" t="n">
        <v>-118</v>
      </c>
      <c r="G12" s="175"/>
      <c r="H12" s="180" t="n">
        <v>-61</v>
      </c>
      <c r="I12" s="175"/>
      <c r="J12" s="78" t="n">
        <v>0.48</v>
      </c>
      <c r="K12" s="215"/>
      <c r="L12" s="73"/>
    </row>
    <row r="13" customFormat="false" ht="18" hidden="false" customHeight="true" outlineLevel="0" collapsed="false">
      <c r="A13" s="64"/>
      <c r="B13" s="178"/>
      <c r="C13" s="178" t="s">
        <v>45</v>
      </c>
      <c r="D13" s="173"/>
      <c r="E13" s="179"/>
      <c r="F13" s="180" t="n">
        <v>-9</v>
      </c>
      <c r="G13" s="175"/>
      <c r="H13" s="180" t="n">
        <v>3</v>
      </c>
      <c r="I13" s="175"/>
      <c r="J13" s="78" t="s">
        <v>8</v>
      </c>
      <c r="K13" s="215"/>
      <c r="L13" s="73"/>
    </row>
    <row r="14" customFormat="false" ht="18" hidden="false" customHeight="true" outlineLevel="0" collapsed="false">
      <c r="A14" s="64"/>
      <c r="B14" s="178"/>
      <c r="C14" s="178" t="s">
        <v>248</v>
      </c>
      <c r="D14" s="173"/>
      <c r="E14" s="179"/>
      <c r="F14" s="183" t="n">
        <v>23</v>
      </c>
      <c r="G14" s="175"/>
      <c r="H14" s="183" t="n">
        <v>13</v>
      </c>
      <c r="I14" s="175"/>
      <c r="J14" s="78" t="n">
        <v>-0.43</v>
      </c>
      <c r="K14" s="215"/>
      <c r="L14" s="73"/>
    </row>
    <row r="15" customFormat="false" ht="18" hidden="false" customHeight="true" outlineLevel="0" collapsed="false">
      <c r="A15" s="64"/>
      <c r="B15" s="178" t="s">
        <v>212</v>
      </c>
      <c r="C15" s="173"/>
      <c r="D15" s="173"/>
      <c r="E15" s="179"/>
      <c r="F15" s="184" t="n">
        <v>112</v>
      </c>
      <c r="G15" s="175"/>
      <c r="H15" s="184" t="n">
        <v>123</v>
      </c>
      <c r="I15" s="175"/>
      <c r="J15" s="78" t="n">
        <v>0.1</v>
      </c>
      <c r="K15" s="215"/>
      <c r="L15" s="64"/>
    </row>
    <row r="16" customFormat="false" ht="18" hidden="false" customHeight="true" outlineLevel="0" collapsed="false">
      <c r="A16" s="64"/>
      <c r="B16" s="178" t="s">
        <v>213</v>
      </c>
      <c r="C16" s="173"/>
      <c r="D16" s="173"/>
      <c r="E16" s="179"/>
      <c r="F16" s="185" t="n">
        <v>-890</v>
      </c>
      <c r="G16" s="175"/>
      <c r="H16" s="185" t="n">
        <v>99</v>
      </c>
      <c r="I16" s="175"/>
      <c r="J16" s="78" t="s">
        <v>8</v>
      </c>
      <c r="K16" s="215"/>
      <c r="L16" s="64"/>
    </row>
    <row r="17" customFormat="false" ht="18" hidden="false" customHeight="true" outlineLevel="0" collapsed="false">
      <c r="A17" s="64"/>
      <c r="B17" s="178" t="s">
        <v>214</v>
      </c>
      <c r="C17" s="173"/>
      <c r="D17" s="173"/>
      <c r="E17" s="179"/>
      <c r="F17" s="183" t="n">
        <v>-270</v>
      </c>
      <c r="G17" s="175"/>
      <c r="H17" s="183" t="n">
        <v>24</v>
      </c>
      <c r="I17" s="175"/>
      <c r="J17" s="78" t="s">
        <v>8</v>
      </c>
      <c r="K17" s="215"/>
      <c r="L17" s="64"/>
    </row>
    <row r="18" s="187" customFormat="true" ht="18" hidden="false" customHeight="true" outlineLevel="0" collapsed="false">
      <c r="A18" s="186"/>
      <c r="B18" s="172" t="s">
        <v>54</v>
      </c>
      <c r="C18" s="174"/>
      <c r="D18" s="174"/>
      <c r="E18" s="175"/>
      <c r="F18" s="176" t="n">
        <v>-620</v>
      </c>
      <c r="G18" s="175"/>
      <c r="H18" s="176" t="n">
        <v>75</v>
      </c>
      <c r="I18" s="175"/>
      <c r="J18" s="93" t="s">
        <v>8</v>
      </c>
      <c r="K18" s="227"/>
      <c r="L18" s="186"/>
    </row>
    <row r="19" customFormat="false" ht="18" hidden="false" customHeight="true" outlineLevel="0" collapsed="false">
      <c r="A19" s="64"/>
      <c r="B19" s="178" t="s">
        <v>120</v>
      </c>
      <c r="C19" s="173"/>
      <c r="D19" s="173"/>
      <c r="E19" s="179"/>
      <c r="F19" s="188" t="n">
        <v>-4</v>
      </c>
      <c r="G19" s="175"/>
      <c r="H19" s="188" t="n">
        <v>3</v>
      </c>
      <c r="I19" s="175"/>
      <c r="J19" s="78" t="s">
        <v>8</v>
      </c>
      <c r="K19" s="215"/>
      <c r="L19" s="64"/>
    </row>
    <row r="20" s="187" customFormat="true" ht="18" hidden="false" customHeight="true" outlineLevel="0" collapsed="false">
      <c r="A20" s="186"/>
      <c r="B20" s="172" t="s">
        <v>215</v>
      </c>
      <c r="C20" s="174"/>
      <c r="D20" s="174"/>
      <c r="E20" s="175"/>
      <c r="F20" s="189" t="n">
        <v>-616</v>
      </c>
      <c r="G20" s="175"/>
      <c r="H20" s="189" t="n">
        <v>72</v>
      </c>
      <c r="I20" s="175"/>
      <c r="J20" s="93" t="s">
        <v>8</v>
      </c>
      <c r="K20" s="227"/>
      <c r="L20" s="186"/>
    </row>
    <row r="21" customFormat="false" ht="18" hidden="false" customHeight="true" outlineLevel="0" collapsed="false">
      <c r="A21" s="64"/>
      <c r="B21" s="178" t="s">
        <v>152</v>
      </c>
      <c r="C21" s="173"/>
      <c r="D21" s="173"/>
      <c r="E21" s="179"/>
      <c r="F21" s="190" t="n">
        <v>125</v>
      </c>
      <c r="G21" s="191"/>
      <c r="H21" s="190" t="n">
        <v>97</v>
      </c>
      <c r="I21" s="191"/>
      <c r="J21" s="78" t="n">
        <v>-0.22</v>
      </c>
      <c r="K21" s="284"/>
      <c r="L21" s="64"/>
    </row>
    <row r="22" customFormat="false" ht="18" hidden="false" customHeight="true" outlineLevel="0" collapsed="false">
      <c r="A22" s="64"/>
      <c r="B22" s="178" t="s">
        <v>153</v>
      </c>
      <c r="C22" s="173"/>
      <c r="D22" s="173"/>
      <c r="E22" s="179"/>
      <c r="F22" s="88" t="n">
        <v>123</v>
      </c>
      <c r="G22" s="193"/>
      <c r="H22" s="88" t="n">
        <v>99</v>
      </c>
      <c r="I22" s="191"/>
      <c r="J22" s="78" t="n">
        <v>-0.2</v>
      </c>
      <c r="K22" s="284"/>
      <c r="L22" s="64"/>
    </row>
    <row r="23" customFormat="false" ht="18" hidden="false" customHeight="true" outlineLevel="0" collapsed="false">
      <c r="A23" s="64"/>
      <c r="B23" s="178" t="s">
        <v>154</v>
      </c>
      <c r="C23" s="173"/>
      <c r="D23" s="173"/>
      <c r="E23" s="179"/>
      <c r="F23" s="194" t="n">
        <v>1.35</v>
      </c>
      <c r="G23" s="195"/>
      <c r="H23" s="194" t="n">
        <v>0.89</v>
      </c>
      <c r="I23" s="195"/>
      <c r="J23" s="196" t="n">
        <v>-4600</v>
      </c>
      <c r="K23" s="282"/>
      <c r="L23" s="64"/>
    </row>
    <row r="24" customFormat="false" ht="18" hidden="false" customHeight="true" outlineLevel="0" collapsed="false">
      <c r="A24" s="64"/>
      <c r="B24" s="178"/>
      <c r="C24" s="173"/>
      <c r="D24" s="173"/>
      <c r="E24" s="179"/>
      <c r="F24" s="198"/>
      <c r="G24" s="195"/>
      <c r="H24" s="198"/>
      <c r="I24" s="195"/>
      <c r="J24" s="78"/>
      <c r="K24" s="282"/>
      <c r="L24" s="64"/>
    </row>
    <row r="25" customFormat="false" ht="18" hidden="false" customHeight="true" outlineLevel="0" collapsed="false">
      <c r="A25" s="64"/>
      <c r="B25" s="178"/>
      <c r="C25" s="173"/>
      <c r="D25" s="173"/>
      <c r="E25" s="179"/>
      <c r="F25" s="198"/>
      <c r="G25" s="195"/>
      <c r="H25" s="198"/>
      <c r="I25" s="195"/>
      <c r="J25" s="78"/>
      <c r="K25" s="282"/>
      <c r="L25" s="64"/>
    </row>
    <row r="26" customFormat="false" ht="18" hidden="false" customHeight="true" outlineLevel="0" collapsed="false">
      <c r="A26" s="64"/>
      <c r="B26" s="186" t="s">
        <v>216</v>
      </c>
      <c r="C26" s="64"/>
      <c r="D26" s="64"/>
      <c r="E26" s="200"/>
      <c r="F26" s="201"/>
      <c r="G26" s="142"/>
      <c r="H26" s="201"/>
      <c r="I26" s="142"/>
      <c r="J26" s="64"/>
      <c r="K26" s="162"/>
      <c r="L26" s="64"/>
    </row>
    <row r="27" s="14" customFormat="true" ht="21" hidden="false" customHeight="true" outlineLevel="0" collapsed="false">
      <c r="A27" s="71"/>
      <c r="B27" s="71"/>
      <c r="C27" s="71" t="s">
        <v>249</v>
      </c>
      <c r="D27" s="71"/>
      <c r="E27" s="25"/>
      <c r="F27" s="82" t="n">
        <v>948</v>
      </c>
      <c r="G27" s="142"/>
      <c r="H27" s="82" t="n">
        <v>772</v>
      </c>
      <c r="I27" s="142"/>
      <c r="J27" s="78" t="n">
        <v>-0.19</v>
      </c>
      <c r="K27" s="215"/>
      <c r="L27" s="64"/>
    </row>
    <row r="28" s="14" customFormat="true" ht="21" hidden="false" customHeight="true" outlineLevel="0" collapsed="false">
      <c r="A28" s="71"/>
      <c r="B28" s="71"/>
      <c r="C28" s="71" t="s">
        <v>250</v>
      </c>
      <c r="D28" s="71"/>
      <c r="E28" s="25"/>
      <c r="F28" s="84" t="n">
        <v>1168</v>
      </c>
      <c r="G28" s="285"/>
      <c r="H28" s="84" t="n">
        <v>1255</v>
      </c>
      <c r="I28" s="143"/>
      <c r="J28" s="78" t="n">
        <v>0.07</v>
      </c>
      <c r="K28" s="215"/>
      <c r="L28" s="162"/>
    </row>
    <row r="29" s="14" customFormat="true" ht="20.25" hidden="false" customHeight="true" outlineLevel="0" collapsed="false">
      <c r="A29" s="71"/>
      <c r="B29" s="71"/>
      <c r="C29" s="71" t="s">
        <v>251</v>
      </c>
      <c r="D29" s="71"/>
      <c r="E29" s="25"/>
      <c r="F29" s="87" t="n">
        <v>77</v>
      </c>
      <c r="G29" s="142"/>
      <c r="H29" s="87" t="n">
        <v>25</v>
      </c>
      <c r="I29" s="142"/>
      <c r="J29" s="78" t="n">
        <v>-0.68</v>
      </c>
      <c r="K29" s="215"/>
      <c r="L29" s="64"/>
    </row>
    <row r="30" customFormat="false" ht="21.75" hidden="false" customHeight="true" outlineLevel="0" collapsed="false">
      <c r="A30" s="64"/>
      <c r="B30" s="186"/>
      <c r="C30" s="178"/>
      <c r="D30" s="64" t="s">
        <v>166</v>
      </c>
      <c r="E30" s="200"/>
      <c r="F30" s="208" t="n">
        <v>2193</v>
      </c>
      <c r="G30" s="286"/>
      <c r="H30" s="208" t="n">
        <v>2052</v>
      </c>
      <c r="I30" s="142"/>
      <c r="J30" s="78" t="n">
        <v>-0.06</v>
      </c>
      <c r="K30" s="162"/>
      <c r="L30" s="64"/>
    </row>
    <row r="31" s="14" customFormat="true" ht="18" hidden="false" customHeight="true" outlineLevel="0" collapsed="false">
      <c r="A31" s="71"/>
      <c r="B31" s="71"/>
      <c r="C31" s="64"/>
      <c r="D31" s="64"/>
      <c r="E31" s="25"/>
      <c r="F31" s="40"/>
      <c r="G31" s="142"/>
      <c r="H31" s="40"/>
      <c r="I31" s="142"/>
      <c r="J31" s="78"/>
      <c r="K31" s="215"/>
      <c r="L31" s="64"/>
    </row>
    <row r="32" s="14" customFormat="true" ht="18" hidden="false" customHeight="true" outlineLevel="0" collapsed="false">
      <c r="A32" s="71"/>
      <c r="B32" s="272" t="s">
        <v>252</v>
      </c>
      <c r="C32" s="64"/>
      <c r="D32" s="64"/>
      <c r="E32" s="25"/>
      <c r="F32" s="82"/>
      <c r="G32" s="142"/>
      <c r="H32" s="82"/>
      <c r="I32" s="142"/>
      <c r="J32" s="78"/>
      <c r="K32" s="215"/>
      <c r="L32" s="64"/>
    </row>
    <row r="33" s="14" customFormat="true" ht="18" hidden="false" customHeight="true" outlineLevel="0" collapsed="false">
      <c r="A33" s="71"/>
      <c r="B33" s="256" t="s">
        <v>253</v>
      </c>
      <c r="C33" s="71"/>
      <c r="D33" s="64"/>
      <c r="E33" s="25"/>
      <c r="F33" s="40" t="n">
        <v>41.1</v>
      </c>
      <c r="G33" s="142"/>
      <c r="H33" s="40" t="n">
        <v>13.3</v>
      </c>
      <c r="I33" s="142"/>
      <c r="J33" s="78" t="n">
        <v>-0.68</v>
      </c>
      <c r="K33" s="215"/>
      <c r="L33" s="64"/>
    </row>
    <row r="34" s="14" customFormat="true" ht="18" hidden="false" customHeight="true" outlineLevel="0" collapsed="false">
      <c r="A34" s="71"/>
      <c r="B34" s="256" t="s">
        <v>254</v>
      </c>
      <c r="C34" s="71"/>
      <c r="D34" s="64"/>
      <c r="E34" s="25"/>
      <c r="F34" s="277" t="n">
        <v>43.3</v>
      </c>
      <c r="G34" s="278"/>
      <c r="H34" s="277" t="n">
        <v>14.5</v>
      </c>
      <c r="I34" s="142"/>
      <c r="J34" s="78" t="n">
        <v>-0.67</v>
      </c>
      <c r="K34" s="215"/>
      <c r="L34" s="64"/>
    </row>
    <row r="35" s="14" customFormat="true" ht="18" hidden="false" customHeight="true" outlineLevel="0" collapsed="false">
      <c r="A35" s="71"/>
      <c r="B35" s="256" t="s">
        <v>241</v>
      </c>
      <c r="C35" s="71"/>
      <c r="D35" s="64"/>
      <c r="E35" s="25"/>
      <c r="F35" s="287" t="n">
        <v>42.3</v>
      </c>
      <c r="G35" s="142"/>
      <c r="H35" s="287" t="n">
        <v>13.2</v>
      </c>
      <c r="I35" s="142"/>
      <c r="J35" s="78" t="n">
        <v>-0.69</v>
      </c>
      <c r="K35" s="215"/>
      <c r="L35" s="64"/>
    </row>
    <row r="36" s="14" customFormat="true" ht="18" hidden="false" customHeight="true" outlineLevel="0" collapsed="false">
      <c r="A36" s="71"/>
      <c r="B36" s="256" t="s">
        <v>233</v>
      </c>
      <c r="C36" s="256"/>
      <c r="D36" s="64"/>
      <c r="E36" s="25"/>
      <c r="F36" s="279" t="n">
        <v>0.0096</v>
      </c>
      <c r="G36" s="142"/>
      <c r="H36" s="279" t="n">
        <v>0.0123</v>
      </c>
      <c r="I36" s="142"/>
      <c r="J36" s="78"/>
      <c r="K36" s="215"/>
      <c r="L36" s="64"/>
    </row>
    <row r="37" s="14" customFormat="true" ht="18" hidden="false" customHeight="true" outlineLevel="0" collapsed="false">
      <c r="A37" s="71"/>
      <c r="B37" s="256" t="s">
        <v>234</v>
      </c>
      <c r="C37" s="256"/>
      <c r="D37" s="64"/>
      <c r="E37" s="25"/>
      <c r="F37" s="279" t="n">
        <v>0.0051</v>
      </c>
      <c r="G37" s="142"/>
      <c r="H37" s="279" t="n">
        <v>0.0037</v>
      </c>
      <c r="I37" s="142"/>
      <c r="J37" s="78"/>
      <c r="K37" s="215"/>
      <c r="L37" s="64"/>
    </row>
    <row r="38" s="14" customFormat="true" ht="18" hidden="false" customHeight="true" outlineLevel="0" collapsed="false">
      <c r="A38" s="71"/>
      <c r="B38" s="256" t="s">
        <v>235</v>
      </c>
      <c r="C38" s="256"/>
      <c r="D38" s="64"/>
      <c r="E38" s="25"/>
      <c r="F38" s="279" t="n">
        <v>0.0069</v>
      </c>
      <c r="G38" s="142"/>
      <c r="H38" s="279" t="n">
        <v>0.0053</v>
      </c>
      <c r="I38" s="142"/>
      <c r="J38" s="78"/>
      <c r="K38" s="215"/>
      <c r="L38" s="64"/>
    </row>
    <row r="39" s="14" customFormat="true" ht="18" hidden="false" customHeight="true" outlineLevel="0" collapsed="false">
      <c r="A39" s="71"/>
      <c r="B39" s="256"/>
      <c r="C39" s="256"/>
      <c r="D39" s="64"/>
      <c r="E39" s="25"/>
      <c r="F39" s="279"/>
      <c r="G39" s="142"/>
      <c r="H39" s="279"/>
      <c r="I39" s="142"/>
      <c r="J39" s="78"/>
      <c r="K39" s="215"/>
      <c r="L39" s="64"/>
    </row>
    <row r="40" s="14" customFormat="true" ht="18" hidden="false" customHeight="true" outlineLevel="0" collapsed="false">
      <c r="A40" s="71"/>
      <c r="B40" s="272" t="s">
        <v>255</v>
      </c>
      <c r="C40" s="64"/>
      <c r="D40" s="64"/>
      <c r="E40" s="25"/>
      <c r="F40" s="82"/>
      <c r="G40" s="142"/>
      <c r="H40" s="82"/>
      <c r="I40" s="142"/>
      <c r="J40" s="78"/>
      <c r="K40" s="215"/>
      <c r="L40" s="64"/>
    </row>
    <row r="41" s="14" customFormat="true" ht="18" hidden="false" customHeight="true" outlineLevel="0" collapsed="false">
      <c r="A41" s="71"/>
      <c r="B41" s="256" t="s">
        <v>253</v>
      </c>
      <c r="C41" s="71"/>
      <c r="D41" s="64"/>
      <c r="E41" s="25"/>
      <c r="F41" s="40" t="n">
        <v>20</v>
      </c>
      <c r="G41" s="142"/>
      <c r="H41" s="40" t="n">
        <v>21.9</v>
      </c>
      <c r="I41" s="142"/>
      <c r="J41" s="78" t="n">
        <v>0.09</v>
      </c>
      <c r="K41" s="215"/>
      <c r="L41" s="64"/>
    </row>
    <row r="42" s="14" customFormat="true" ht="18" hidden="false" customHeight="true" outlineLevel="0" collapsed="false">
      <c r="A42" s="71"/>
      <c r="B42" s="256" t="s">
        <v>254</v>
      </c>
      <c r="C42" s="71"/>
      <c r="D42" s="64"/>
      <c r="E42" s="25"/>
      <c r="F42" s="277" t="n">
        <v>32.7</v>
      </c>
      <c r="G42" s="278"/>
      <c r="H42" s="277" t="n">
        <v>36.5</v>
      </c>
      <c r="I42" s="142"/>
      <c r="J42" s="78" t="n">
        <v>0.12</v>
      </c>
      <c r="K42" s="215"/>
      <c r="L42" s="64"/>
    </row>
    <row r="43" s="14" customFormat="true" ht="18" hidden="false" customHeight="true" outlineLevel="0" collapsed="false">
      <c r="A43" s="71"/>
      <c r="B43" s="256" t="s">
        <v>241</v>
      </c>
      <c r="C43" s="71"/>
      <c r="D43" s="64"/>
      <c r="E43" s="25"/>
      <c r="F43" s="287" t="n">
        <v>19.4</v>
      </c>
      <c r="G43" s="142"/>
      <c r="H43" s="287" t="n">
        <v>21.3</v>
      </c>
      <c r="I43" s="142"/>
      <c r="J43" s="78" t="n">
        <v>0.1</v>
      </c>
      <c r="K43" s="215"/>
      <c r="L43" s="64"/>
    </row>
    <row r="44" s="14" customFormat="true" ht="18" hidden="false" customHeight="true" outlineLevel="0" collapsed="false">
      <c r="A44" s="71"/>
      <c r="B44" s="256" t="s">
        <v>233</v>
      </c>
      <c r="C44" s="256"/>
      <c r="D44" s="64"/>
      <c r="E44" s="25"/>
      <c r="F44" s="279" t="n">
        <v>0.0272</v>
      </c>
      <c r="G44" s="142"/>
      <c r="H44" s="279" t="n">
        <v>0.0248</v>
      </c>
      <c r="I44" s="142"/>
      <c r="J44" s="78"/>
      <c r="K44" s="215"/>
      <c r="L44" s="64"/>
    </row>
    <row r="45" s="14" customFormat="true" ht="18" hidden="false" customHeight="true" outlineLevel="0" collapsed="false">
      <c r="A45" s="71"/>
      <c r="B45" s="256" t="s">
        <v>256</v>
      </c>
      <c r="C45" s="256"/>
      <c r="D45" s="64"/>
      <c r="E45" s="25"/>
      <c r="F45" s="279" t="n">
        <v>0.0138</v>
      </c>
      <c r="G45" s="142"/>
      <c r="H45" s="279" t="n">
        <v>0.0128</v>
      </c>
      <c r="I45" s="142"/>
      <c r="J45" s="78"/>
      <c r="K45" s="215"/>
      <c r="L45" s="64"/>
    </row>
    <row r="46" s="14" customFormat="true" ht="18" hidden="false" customHeight="true" outlineLevel="0" collapsed="false">
      <c r="A46" s="71"/>
      <c r="B46" s="256" t="s">
        <v>257</v>
      </c>
      <c r="C46" s="256"/>
      <c r="D46" s="64"/>
      <c r="E46" s="25"/>
      <c r="F46" s="279" t="n">
        <v>0.013</v>
      </c>
      <c r="G46" s="142"/>
      <c r="H46" s="279" t="n">
        <v>0.0126</v>
      </c>
      <c r="I46" s="142"/>
      <c r="J46" s="78"/>
      <c r="K46" s="215"/>
      <c r="L46" s="64"/>
    </row>
    <row r="47" s="14" customFormat="true" ht="18" hidden="false" customHeight="true" outlineLevel="0" collapsed="false">
      <c r="A47" s="71"/>
      <c r="B47" s="256"/>
      <c r="C47" s="256"/>
      <c r="D47" s="64"/>
      <c r="E47" s="25"/>
      <c r="F47" s="279"/>
      <c r="G47" s="142"/>
      <c r="H47" s="279"/>
      <c r="I47" s="142"/>
      <c r="J47" s="78"/>
      <c r="K47" s="215"/>
      <c r="L47" s="64"/>
    </row>
    <row r="48" s="14" customFormat="true" ht="18" hidden="false" customHeight="true" outlineLevel="0" collapsed="false">
      <c r="A48" s="71"/>
      <c r="B48" s="272" t="s">
        <v>258</v>
      </c>
      <c r="C48" s="64"/>
      <c r="D48" s="64"/>
      <c r="E48" s="25"/>
      <c r="F48" s="82"/>
      <c r="G48" s="142"/>
      <c r="H48" s="82"/>
      <c r="I48" s="142"/>
      <c r="J48" s="78"/>
      <c r="K48" s="215"/>
      <c r="L48" s="64"/>
    </row>
    <row r="49" s="14" customFormat="true" ht="20.25" hidden="false" customHeight="true" outlineLevel="0" collapsed="false">
      <c r="A49" s="71"/>
      <c r="B49" s="256" t="s">
        <v>253</v>
      </c>
      <c r="C49" s="71"/>
      <c r="D49" s="64"/>
      <c r="E49" s="25"/>
      <c r="F49" s="40" t="n">
        <v>3.9</v>
      </c>
      <c r="G49" s="142"/>
      <c r="H49" s="40" t="n">
        <v>3</v>
      </c>
      <c r="I49" s="142"/>
      <c r="J49" s="78" t="n">
        <v>-0.23</v>
      </c>
      <c r="K49" s="215"/>
      <c r="L49" s="64"/>
    </row>
    <row r="50" s="14" customFormat="true" ht="18" hidden="false" customHeight="true" outlineLevel="0" collapsed="false">
      <c r="A50" s="71"/>
      <c r="B50" s="256"/>
      <c r="C50" s="256"/>
      <c r="D50" s="64"/>
      <c r="E50" s="25"/>
      <c r="F50" s="279"/>
      <c r="G50" s="142"/>
      <c r="H50" s="279"/>
      <c r="I50" s="142"/>
      <c r="J50" s="78"/>
      <c r="K50" s="215"/>
      <c r="L50" s="64"/>
    </row>
    <row r="51" s="14" customFormat="true" ht="18" hidden="false" customHeight="true" outlineLevel="0" collapsed="false">
      <c r="A51" s="71"/>
      <c r="B51" s="58"/>
      <c r="C51" s="59"/>
      <c r="D51" s="60"/>
      <c r="E51" s="60"/>
      <c r="F51" s="108"/>
      <c r="G51" s="108"/>
      <c r="H51" s="108"/>
      <c r="I51" s="108"/>
      <c r="J51" s="109"/>
      <c r="K51" s="109"/>
      <c r="L51" s="64"/>
    </row>
    <row r="52" s="14" customFormat="true" ht="18" hidden="false" customHeight="true" outlineLevel="0" collapsed="false">
      <c r="A52" s="71"/>
      <c r="B52" s="71"/>
      <c r="C52" s="64"/>
      <c r="D52" s="64"/>
      <c r="E52" s="25"/>
      <c r="F52" s="82"/>
      <c r="G52" s="142"/>
      <c r="H52" s="82"/>
      <c r="I52" s="142"/>
      <c r="J52" s="78"/>
      <c r="K52" s="215"/>
      <c r="L52" s="64"/>
    </row>
    <row r="53" s="14" customFormat="true" ht="18" hidden="false" customHeight="true" outlineLevel="0" collapsed="false">
      <c r="A53" s="71"/>
      <c r="B53" s="71" t="s">
        <v>259</v>
      </c>
      <c r="C53" s="64" t="s">
        <v>260</v>
      </c>
      <c r="D53" s="64"/>
      <c r="E53" s="25"/>
      <c r="F53" s="82"/>
      <c r="G53" s="142"/>
      <c r="H53" s="82"/>
      <c r="I53" s="142"/>
      <c r="J53" s="78"/>
      <c r="K53" s="215"/>
      <c r="L53" s="64"/>
    </row>
    <row r="54" s="14" customFormat="true" ht="18" hidden="false" customHeight="true" outlineLevel="0" collapsed="false">
      <c r="A54" s="71"/>
      <c r="B54" s="71"/>
      <c r="C54" s="64" t="s">
        <v>261</v>
      </c>
      <c r="D54" s="64"/>
      <c r="E54" s="25"/>
      <c r="F54" s="82"/>
      <c r="G54" s="142"/>
      <c r="H54" s="82"/>
      <c r="I54" s="142"/>
      <c r="J54" s="78"/>
      <c r="K54" s="215"/>
      <c r="L54" s="64"/>
    </row>
    <row r="55" s="14" customFormat="true" ht="18" hidden="false" customHeight="true" outlineLevel="0" collapsed="false">
      <c r="A55" s="71"/>
      <c r="B55" s="71" t="s">
        <v>63</v>
      </c>
      <c r="C55" s="64" t="s">
        <v>262</v>
      </c>
      <c r="D55" s="64"/>
      <c r="E55" s="25"/>
      <c r="F55" s="82"/>
      <c r="G55" s="142"/>
      <c r="H55" s="82"/>
      <c r="I55" s="142"/>
      <c r="J55" s="78"/>
      <c r="K55" s="215"/>
      <c r="L55" s="64"/>
    </row>
    <row r="56" s="14" customFormat="true" ht="18" hidden="false" customHeight="true" outlineLevel="0" collapsed="false">
      <c r="A56" s="71"/>
      <c r="B56" s="71" t="s">
        <v>65</v>
      </c>
      <c r="C56" s="64" t="s">
        <v>263</v>
      </c>
      <c r="D56" s="64"/>
      <c r="E56" s="25"/>
      <c r="F56" s="82"/>
      <c r="G56" s="142"/>
      <c r="H56" s="82"/>
      <c r="I56" s="142"/>
      <c r="J56" s="78"/>
      <c r="K56" s="215"/>
      <c r="L56" s="64"/>
    </row>
    <row r="57" s="14" customFormat="true" ht="18" hidden="false" customHeight="true" outlineLevel="0" collapsed="false">
      <c r="A57" s="71"/>
      <c r="B57" s="71" t="s">
        <v>67</v>
      </c>
      <c r="C57" s="64" t="s">
        <v>264</v>
      </c>
      <c r="D57" s="64"/>
      <c r="E57" s="25"/>
      <c r="F57" s="82"/>
      <c r="G57" s="142"/>
      <c r="H57" s="82"/>
      <c r="I57" s="142"/>
      <c r="J57" s="78"/>
      <c r="K57" s="215"/>
      <c r="L57" s="64"/>
    </row>
    <row r="58" s="14" customFormat="true" ht="18" hidden="false" customHeight="true" outlineLevel="0" collapsed="false">
      <c r="A58" s="71"/>
      <c r="B58" s="71"/>
      <c r="C58" s="64"/>
      <c r="D58" s="64"/>
      <c r="E58" s="25"/>
      <c r="F58" s="82"/>
      <c r="G58" s="142"/>
      <c r="H58" s="82"/>
      <c r="I58" s="142"/>
      <c r="J58" s="78"/>
      <c r="K58" s="215"/>
      <c r="L58" s="64"/>
    </row>
    <row r="59" customFormat="false" ht="18" hidden="false" customHeight="true" outlineLevel="0" collapsed="false">
      <c r="A59" s="64"/>
      <c r="B59" s="64"/>
      <c r="C59" s="64"/>
      <c r="D59" s="64"/>
      <c r="E59" s="200"/>
      <c r="F59" s="64"/>
      <c r="G59" s="216"/>
      <c r="H59" s="64"/>
      <c r="I59" s="216"/>
      <c r="J59" s="217"/>
      <c r="K59" s="217"/>
      <c r="L59" s="64"/>
    </row>
    <row r="60" customFormat="false" ht="18" hidden="false" customHeight="true" outlineLevel="0" collapsed="false">
      <c r="A60" s="64"/>
      <c r="B60" s="64" t="s">
        <v>71</v>
      </c>
      <c r="C60" s="71"/>
      <c r="D60" s="64"/>
      <c r="E60" s="64"/>
      <c r="F60" s="216"/>
      <c r="G60" s="216"/>
      <c r="H60" s="216"/>
      <c r="I60" s="216"/>
      <c r="J60" s="217"/>
      <c r="K60" s="217"/>
      <c r="L60" s="64"/>
    </row>
    <row r="61" customFormat="false" ht="18" hidden="false" customHeight="true" outlineLevel="0" collapsed="false">
      <c r="A61" s="64"/>
      <c r="B61" s="64" t="s">
        <v>72</v>
      </c>
      <c r="C61" s="64"/>
      <c r="D61" s="64"/>
      <c r="E61" s="64"/>
      <c r="F61" s="216"/>
      <c r="G61" s="216"/>
      <c r="H61" s="216"/>
      <c r="I61" s="216"/>
      <c r="J61" s="217"/>
      <c r="K61" s="217"/>
      <c r="L61" s="64"/>
    </row>
    <row r="62" customFormat="false" ht="18" hidden="false" customHeight="true" outlineLevel="0" collapsed="false">
      <c r="A62" s="64"/>
      <c r="B62" s="64"/>
      <c r="C62" s="64"/>
      <c r="D62" s="64"/>
      <c r="E62" s="64"/>
      <c r="F62" s="216"/>
      <c r="G62" s="216"/>
      <c r="H62" s="216"/>
      <c r="I62" s="216"/>
      <c r="J62" s="217"/>
      <c r="K62" s="217"/>
      <c r="L62" s="64"/>
    </row>
    <row r="63" customFormat="false" ht="18" hidden="false" customHeight="true" outlineLevel="0" collapsed="false">
      <c r="A63" s="64"/>
      <c r="B63" s="64"/>
      <c r="C63" s="64"/>
      <c r="D63" s="64"/>
      <c r="E63" s="64"/>
      <c r="F63" s="216"/>
      <c r="G63" s="216"/>
      <c r="H63" s="216"/>
      <c r="I63" s="216"/>
      <c r="J63" s="217"/>
      <c r="K63" s="217"/>
      <c r="L63" s="64"/>
    </row>
    <row r="64" customFormat="false" ht="18" hidden="false" customHeight="true" outlineLevel="0" collapsed="false">
      <c r="A64" s="64"/>
      <c r="B64" s="64"/>
      <c r="C64" s="64"/>
      <c r="D64" s="64"/>
      <c r="E64" s="64"/>
      <c r="F64" s="216"/>
      <c r="G64" s="216"/>
      <c r="H64" s="216"/>
      <c r="I64" s="216"/>
      <c r="J64" s="217"/>
      <c r="K64" s="217"/>
      <c r="L64" s="64"/>
    </row>
    <row r="65" customFormat="false" ht="19.35" hidden="false" customHeight="false" outlineLevel="0" collapsed="false"/>
    <row r="66" customFormat="false" ht="19.35" hidden="false" customHeight="false" outlineLevel="0" collapsed="false"/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F7" activeCellId="0" sqref="F7 F7"/>
    </sheetView>
  </sheetViews>
  <sheetFormatPr defaultColWidth="9.32421875" defaultRowHeight="17" zeroHeight="false" outlineLevelRow="0" outlineLevelCol="0"/>
  <cols>
    <col collapsed="false" customWidth="true" hidden="false" outlineLevel="0" max="3" min="1" style="152" width="4.82"/>
    <col collapsed="false" customWidth="true" hidden="false" outlineLevel="0" max="4" min="4" style="152" width="117.15"/>
    <col collapsed="false" customWidth="true" hidden="false" outlineLevel="0" max="5" min="5" style="152" width="2.82"/>
    <col collapsed="false" customWidth="true" hidden="false" outlineLevel="0" max="6" min="6" style="152" width="18.82"/>
    <col collapsed="false" customWidth="true" hidden="false" outlineLevel="0" max="7" min="7" style="153" width="3.82"/>
    <col collapsed="false" customWidth="true" hidden="false" outlineLevel="0" max="8" min="8" style="153" width="15.99"/>
    <col collapsed="false" customWidth="true" hidden="false" outlineLevel="0" max="9" min="9" style="153" width="2.82"/>
    <col collapsed="false" customWidth="true" hidden="false" outlineLevel="0" max="10" min="10" style="152" width="29.49"/>
    <col collapsed="false" customWidth="true" hidden="false" outlineLevel="0" max="11" min="11" style="152" width="7.49"/>
    <col collapsed="false" customWidth="true" hidden="false" outlineLevel="0" max="12" min="12" style="152" width="103.65"/>
    <col collapsed="false" customWidth="false" hidden="false" outlineLevel="0" max="257" min="13" style="152" width="9.32"/>
  </cols>
  <sheetData>
    <row r="1" customFormat="false" ht="18" hidden="false" customHeight="true" outlineLevel="0" collapsed="false">
      <c r="D1" s="154"/>
      <c r="E1" s="155"/>
      <c r="F1" s="154"/>
      <c r="G1" s="156"/>
      <c r="H1" s="156"/>
      <c r="I1" s="156"/>
      <c r="J1" s="288"/>
      <c r="K1" s="116"/>
      <c r="L1" s="14"/>
    </row>
    <row r="2" customFormat="false" ht="25.5" hidden="false" customHeight="true" outlineLevel="0" collapsed="false">
      <c r="B2" s="262" t="s">
        <v>265</v>
      </c>
      <c r="C2" s="157"/>
      <c r="D2" s="158"/>
      <c r="E2" s="155"/>
      <c r="F2" s="158"/>
      <c r="G2" s="158"/>
      <c r="H2" s="158"/>
      <c r="I2" s="158"/>
      <c r="J2" s="288"/>
      <c r="K2" s="261"/>
      <c r="L2" s="14"/>
    </row>
    <row r="3" customFormat="false" ht="18" hidden="false" customHeight="true" outlineLevel="0" collapsed="false">
      <c r="B3" s="21" t="s">
        <v>141</v>
      </c>
      <c r="C3" s="157"/>
      <c r="D3" s="158"/>
      <c r="E3" s="161"/>
      <c r="F3" s="158"/>
      <c r="G3" s="160"/>
      <c r="H3" s="289"/>
      <c r="I3" s="160"/>
      <c r="J3" s="83"/>
      <c r="K3" s="122"/>
      <c r="L3" s="71"/>
    </row>
    <row r="4" customFormat="false" ht="18" hidden="false" customHeight="true" outlineLevel="0" collapsed="false">
      <c r="B4" s="21"/>
      <c r="C4" s="157"/>
      <c r="D4" s="158"/>
      <c r="E4" s="161"/>
      <c r="F4" s="158"/>
      <c r="G4" s="160"/>
      <c r="H4" s="289"/>
      <c r="I4" s="160"/>
      <c r="J4" s="83"/>
      <c r="K4" s="122"/>
      <c r="L4" s="71"/>
    </row>
    <row r="5" customFormat="false" ht="18" hidden="false" customHeight="true" outlineLevel="0" collapsed="false">
      <c r="A5" s="64"/>
      <c r="B5" s="216"/>
      <c r="C5" s="263"/>
      <c r="D5" s="160"/>
      <c r="E5" s="255"/>
      <c r="F5" s="73"/>
      <c r="G5" s="73"/>
      <c r="H5" s="73"/>
      <c r="I5" s="73"/>
      <c r="J5" s="73"/>
      <c r="K5" s="73"/>
      <c r="L5" s="71"/>
    </row>
    <row r="6" customFormat="false" ht="49.95" hidden="false" customHeight="false" outlineLevel="0" collapsed="false">
      <c r="A6" s="64"/>
      <c r="B6" s="64"/>
      <c r="C6" s="64"/>
      <c r="D6" s="64"/>
      <c r="E6" s="162"/>
      <c r="F6" s="26" t="s">
        <v>2</v>
      </c>
      <c r="G6" s="73"/>
      <c r="H6" s="26" t="s">
        <v>1</v>
      </c>
      <c r="I6" s="74"/>
      <c r="J6" s="28" t="s">
        <v>3</v>
      </c>
      <c r="K6" s="74"/>
      <c r="L6" s="71"/>
    </row>
    <row r="7" customFormat="false" ht="14.25" hidden="false" customHeight="true" outlineLevel="0" collapsed="false">
      <c r="A7" s="64"/>
      <c r="B7" s="64"/>
      <c r="C7" s="64"/>
      <c r="D7" s="64"/>
      <c r="E7" s="162"/>
      <c r="F7" s="74"/>
      <c r="G7" s="163"/>
      <c r="H7" s="74"/>
      <c r="I7" s="163"/>
      <c r="J7" s="74"/>
      <c r="K7" s="127"/>
      <c r="L7" s="73"/>
    </row>
    <row r="8" s="14" customFormat="true" ht="21.75" hidden="false" customHeight="true" outlineLevel="0" collapsed="false">
      <c r="A8" s="71"/>
      <c r="B8" s="39" t="s">
        <v>179</v>
      </c>
      <c r="C8" s="71"/>
      <c r="D8" s="71"/>
      <c r="E8" s="73"/>
      <c r="F8" s="102" t="n">
        <v>195</v>
      </c>
      <c r="G8" s="265"/>
      <c r="H8" s="102" t="n">
        <v>1043</v>
      </c>
      <c r="I8" s="265"/>
      <c r="J8" s="78" t="s">
        <v>8</v>
      </c>
      <c r="K8" s="166"/>
      <c r="L8" s="71"/>
    </row>
    <row r="9" s="14" customFormat="true" ht="21.75" hidden="false" customHeight="true" outlineLevel="0" collapsed="false">
      <c r="A9" s="71"/>
      <c r="B9" s="39" t="s">
        <v>180</v>
      </c>
      <c r="C9" s="71"/>
      <c r="D9" s="71"/>
      <c r="E9" s="73"/>
      <c r="F9" s="266" t="n">
        <v>-64</v>
      </c>
      <c r="G9" s="73"/>
      <c r="H9" s="266" t="n">
        <v>-344</v>
      </c>
      <c r="I9" s="73"/>
      <c r="J9" s="78" t="s">
        <v>8</v>
      </c>
      <c r="K9" s="166"/>
      <c r="L9" s="71"/>
    </row>
    <row r="10" s="187" customFormat="true" ht="21.75" hidden="false" customHeight="true" outlineLevel="0" collapsed="false">
      <c r="A10" s="186"/>
      <c r="B10" s="172" t="s">
        <v>9</v>
      </c>
      <c r="C10" s="174"/>
      <c r="D10" s="174"/>
      <c r="E10" s="175"/>
      <c r="F10" s="176" t="n">
        <v>131</v>
      </c>
      <c r="G10" s="175"/>
      <c r="H10" s="176" t="n">
        <v>699</v>
      </c>
      <c r="I10" s="175"/>
      <c r="J10" s="93" t="s">
        <v>8</v>
      </c>
      <c r="K10" s="177"/>
      <c r="L10" s="81"/>
    </row>
    <row r="11" customFormat="false" ht="21.75" hidden="false" customHeight="true" outlineLevel="0" collapsed="false">
      <c r="A11" s="64"/>
      <c r="B11" s="178" t="s">
        <v>10</v>
      </c>
      <c r="C11" s="173"/>
      <c r="D11" s="173"/>
      <c r="E11" s="179"/>
      <c r="F11" s="180" t="n">
        <v>319</v>
      </c>
      <c r="G11" s="175"/>
      <c r="H11" s="180" t="n">
        <v>247</v>
      </c>
      <c r="I11" s="175"/>
      <c r="J11" s="78" t="n">
        <v>-0.23</v>
      </c>
      <c r="K11" s="181"/>
      <c r="L11" s="162"/>
    </row>
    <row r="12" customFormat="false" ht="21.75" hidden="false" customHeight="true" outlineLevel="0" collapsed="false">
      <c r="A12" s="64"/>
      <c r="B12" s="178" t="s">
        <v>266</v>
      </c>
      <c r="C12" s="173"/>
      <c r="D12" s="173"/>
      <c r="E12" s="179"/>
      <c r="F12" s="183" t="n">
        <v>0</v>
      </c>
      <c r="G12" s="175"/>
      <c r="H12" s="183" t="n">
        <v>0</v>
      </c>
      <c r="I12" s="175"/>
      <c r="J12" s="78" t="s">
        <v>36</v>
      </c>
      <c r="K12" s="181"/>
      <c r="L12" s="162"/>
    </row>
    <row r="13" customFormat="false" ht="21.75" hidden="false" customHeight="true" outlineLevel="0" collapsed="false">
      <c r="A13" s="64"/>
      <c r="B13" s="178" t="s">
        <v>213</v>
      </c>
      <c r="C13" s="173"/>
      <c r="D13" s="173"/>
      <c r="E13" s="179"/>
      <c r="F13" s="185" t="n">
        <v>-188</v>
      </c>
      <c r="G13" s="175"/>
      <c r="H13" s="185" t="n">
        <v>452</v>
      </c>
      <c r="I13" s="175"/>
      <c r="J13" s="78" t="s">
        <v>8</v>
      </c>
      <c r="K13" s="181"/>
      <c r="L13" s="64"/>
    </row>
    <row r="14" customFormat="false" ht="21.75" hidden="false" customHeight="true" outlineLevel="0" collapsed="false">
      <c r="A14" s="64"/>
      <c r="B14" s="178" t="s">
        <v>214</v>
      </c>
      <c r="C14" s="173"/>
      <c r="D14" s="173"/>
      <c r="E14" s="179"/>
      <c r="F14" s="183" t="n">
        <v>-44</v>
      </c>
      <c r="G14" s="175"/>
      <c r="H14" s="183" t="n">
        <v>21</v>
      </c>
      <c r="I14" s="175"/>
      <c r="J14" s="78" t="s">
        <v>8</v>
      </c>
      <c r="K14" s="181"/>
      <c r="L14" s="64"/>
    </row>
    <row r="15" s="187" customFormat="true" ht="21.75" hidden="false" customHeight="true" outlineLevel="0" collapsed="false">
      <c r="A15" s="186"/>
      <c r="B15" s="172" t="s">
        <v>54</v>
      </c>
      <c r="C15" s="174"/>
      <c r="D15" s="174"/>
      <c r="E15" s="175"/>
      <c r="F15" s="176" t="n">
        <v>-144</v>
      </c>
      <c r="G15" s="175"/>
      <c r="H15" s="176" t="n">
        <v>431</v>
      </c>
      <c r="I15" s="175"/>
      <c r="J15" s="93" t="s">
        <v>8</v>
      </c>
      <c r="K15" s="177"/>
      <c r="L15" s="73"/>
    </row>
    <row r="16" s="187" customFormat="true" ht="22.5" hidden="false" customHeight="true" outlineLevel="0" collapsed="false">
      <c r="A16" s="186"/>
      <c r="B16" s="133" t="s">
        <v>267</v>
      </c>
      <c r="C16" s="174"/>
      <c r="D16" s="174"/>
      <c r="E16" s="175"/>
      <c r="F16" s="180" t="n">
        <v>0</v>
      </c>
      <c r="G16" s="175"/>
      <c r="H16" s="180" t="n">
        <v>-2</v>
      </c>
      <c r="I16" s="175"/>
      <c r="J16" s="93" t="s">
        <v>8</v>
      </c>
      <c r="K16" s="177"/>
      <c r="L16" s="73"/>
    </row>
    <row r="17" customFormat="false" ht="21.75" hidden="false" customHeight="true" outlineLevel="0" collapsed="false">
      <c r="A17" s="64"/>
      <c r="B17" s="178" t="s">
        <v>120</v>
      </c>
      <c r="C17" s="173"/>
      <c r="D17" s="173"/>
      <c r="E17" s="179"/>
      <c r="F17" s="188" t="n">
        <v>0</v>
      </c>
      <c r="G17" s="175"/>
      <c r="H17" s="188" t="n">
        <v>-2</v>
      </c>
      <c r="I17" s="175"/>
      <c r="J17" s="78" t="s">
        <v>8</v>
      </c>
      <c r="K17" s="181"/>
      <c r="L17" s="64"/>
    </row>
    <row r="18" s="187" customFormat="true" ht="21.75" hidden="false" customHeight="true" outlineLevel="0" collapsed="false">
      <c r="A18" s="186"/>
      <c r="B18" s="172" t="s">
        <v>215</v>
      </c>
      <c r="C18" s="174"/>
      <c r="D18" s="174"/>
      <c r="E18" s="175"/>
      <c r="F18" s="189" t="n">
        <v>-144</v>
      </c>
      <c r="G18" s="175"/>
      <c r="H18" s="189" t="n">
        <v>431</v>
      </c>
      <c r="I18" s="175"/>
      <c r="J18" s="93" t="s">
        <v>8</v>
      </c>
      <c r="K18" s="177"/>
      <c r="L18" s="186"/>
    </row>
    <row r="19" customFormat="false" ht="27.75" hidden="false" customHeight="true" outlineLevel="0" collapsed="false">
      <c r="A19" s="64"/>
      <c r="B19" s="178" t="s">
        <v>152</v>
      </c>
      <c r="C19" s="173"/>
      <c r="D19" s="173"/>
      <c r="E19" s="179"/>
      <c r="F19" s="190" t="n">
        <v>89</v>
      </c>
      <c r="G19" s="191"/>
      <c r="H19" s="190" t="n">
        <v>96</v>
      </c>
      <c r="I19" s="191"/>
      <c r="J19" s="78" t="n">
        <v>0.08</v>
      </c>
      <c r="K19" s="192"/>
      <c r="L19" s="64"/>
    </row>
    <row r="20" customFormat="false" ht="19.35" hidden="false" customHeight="false" outlineLevel="0" collapsed="false">
      <c r="K20" s="192"/>
    </row>
    <row r="21" customFormat="false" ht="18" hidden="false" customHeight="true" outlineLevel="0" collapsed="false">
      <c r="A21" s="64"/>
      <c r="B21" s="178"/>
      <c r="C21" s="173"/>
      <c r="D21" s="173"/>
      <c r="E21" s="179"/>
      <c r="F21" s="290"/>
      <c r="G21" s="195"/>
      <c r="H21" s="213"/>
      <c r="I21" s="195"/>
      <c r="J21" s="78"/>
      <c r="K21" s="192"/>
      <c r="L21" s="64"/>
    </row>
    <row r="22" customFormat="false" ht="11.25" hidden="false" customHeight="true" outlineLevel="0" collapsed="false">
      <c r="A22" s="64"/>
      <c r="B22" s="291"/>
      <c r="C22" s="291"/>
      <c r="D22" s="292"/>
      <c r="E22" s="182"/>
      <c r="F22" s="293"/>
      <c r="G22" s="294"/>
      <c r="H22" s="293"/>
      <c r="I22" s="295"/>
      <c r="J22" s="78"/>
      <c r="K22" s="296"/>
      <c r="L22" s="295"/>
    </row>
    <row r="23" customFormat="false" ht="11.25" hidden="false" customHeight="true" outlineLevel="0" collapsed="false">
      <c r="A23" s="64"/>
      <c r="B23" s="58"/>
      <c r="C23" s="59"/>
      <c r="D23" s="60"/>
      <c r="E23" s="60"/>
      <c r="F23" s="108"/>
      <c r="G23" s="108"/>
      <c r="H23" s="108"/>
      <c r="I23" s="108"/>
      <c r="J23" s="109"/>
      <c r="K23" s="214"/>
      <c r="L23" s="295"/>
    </row>
    <row r="24" customFormat="false" ht="11.25" hidden="false" customHeight="true" outlineLevel="0" collapsed="false">
      <c r="A24" s="64"/>
      <c r="B24" s="291"/>
      <c r="C24" s="291"/>
      <c r="D24" s="292"/>
      <c r="E24" s="182"/>
      <c r="F24" s="293"/>
      <c r="G24" s="294"/>
      <c r="H24" s="293"/>
      <c r="I24" s="295"/>
      <c r="J24" s="78"/>
      <c r="K24" s="295"/>
      <c r="L24" s="295"/>
    </row>
    <row r="25" customFormat="false" ht="11.25" hidden="false" customHeight="true" outlineLevel="0" collapsed="false">
      <c r="A25" s="64"/>
      <c r="B25" s="291"/>
      <c r="C25" s="291"/>
      <c r="D25" s="292"/>
      <c r="E25" s="182"/>
      <c r="F25" s="293"/>
      <c r="G25" s="294"/>
      <c r="H25" s="293"/>
      <c r="I25" s="295"/>
      <c r="J25" s="78"/>
      <c r="K25" s="295"/>
      <c r="L25" s="295"/>
    </row>
    <row r="26" customFormat="false" ht="18" hidden="false" customHeight="true" outlineLevel="0" collapsed="false">
      <c r="A26" s="64"/>
      <c r="B26" s="64" t="s">
        <v>61</v>
      </c>
      <c r="C26" s="64" t="s">
        <v>268</v>
      </c>
      <c r="D26" s="292"/>
      <c r="E26" s="182"/>
      <c r="F26" s="293"/>
      <c r="G26" s="294"/>
      <c r="H26" s="293"/>
      <c r="I26" s="295"/>
      <c r="J26" s="78"/>
      <c r="K26" s="295"/>
      <c r="L26" s="295"/>
    </row>
    <row r="27" customFormat="false" ht="18" hidden="false" customHeight="true" outlineLevel="0" collapsed="false">
      <c r="A27" s="64"/>
      <c r="B27" s="64"/>
      <c r="C27" s="64" t="s">
        <v>269</v>
      </c>
      <c r="D27" s="292"/>
      <c r="E27" s="182"/>
      <c r="F27" s="293"/>
      <c r="G27" s="294"/>
      <c r="H27" s="293"/>
      <c r="I27" s="295"/>
      <c r="J27" s="78"/>
      <c r="K27" s="295"/>
      <c r="L27" s="295"/>
    </row>
    <row r="28" customFormat="false" ht="18" hidden="false" customHeight="true" outlineLevel="0" collapsed="false">
      <c r="A28" s="64"/>
      <c r="B28" s="64" t="s">
        <v>63</v>
      </c>
      <c r="C28" s="64" t="s">
        <v>70</v>
      </c>
      <c r="D28" s="292"/>
      <c r="E28" s="182"/>
      <c r="F28" s="293"/>
      <c r="G28" s="294"/>
      <c r="H28" s="293"/>
      <c r="I28" s="295"/>
      <c r="J28" s="78"/>
      <c r="K28" s="295"/>
      <c r="L28" s="295"/>
    </row>
    <row r="29" customFormat="false" ht="18" hidden="false" customHeight="true" outlineLevel="0" collapsed="false">
      <c r="A29" s="64"/>
      <c r="B29" s="64"/>
      <c r="C29" s="64"/>
      <c r="D29" s="292"/>
      <c r="E29" s="182"/>
      <c r="F29" s="293"/>
      <c r="G29" s="294"/>
      <c r="H29" s="293"/>
      <c r="I29" s="295"/>
      <c r="J29" s="78"/>
      <c r="K29" s="295"/>
      <c r="L29" s="295"/>
    </row>
    <row r="30" customFormat="false" ht="9.75" hidden="false" customHeight="true" outlineLevel="0" collapsed="false">
      <c r="A30" s="64"/>
      <c r="B30" s="256"/>
      <c r="C30" s="178"/>
      <c r="D30" s="73"/>
      <c r="E30" s="182"/>
      <c r="F30" s="297"/>
      <c r="G30" s="295"/>
      <c r="H30" s="297"/>
      <c r="I30" s="142"/>
      <c r="J30" s="78"/>
      <c r="K30" s="142"/>
      <c r="L30" s="142"/>
    </row>
    <row r="31" customFormat="false" ht="9.75" hidden="false" customHeight="true" outlineLevel="0" collapsed="false">
      <c r="A31" s="64"/>
      <c r="B31" s="256"/>
      <c r="C31" s="178"/>
      <c r="D31" s="73"/>
      <c r="E31" s="182"/>
      <c r="F31" s="297"/>
      <c r="G31" s="295"/>
      <c r="H31" s="297"/>
      <c r="I31" s="142"/>
      <c r="J31" s="78"/>
      <c r="K31" s="142"/>
      <c r="L31" s="142"/>
    </row>
    <row r="32" customFormat="false" ht="9.75" hidden="false" customHeight="true" outlineLevel="0" collapsed="false">
      <c r="A32" s="64"/>
      <c r="B32" s="256"/>
      <c r="C32" s="178"/>
      <c r="D32" s="73"/>
      <c r="E32" s="182"/>
      <c r="F32" s="297"/>
      <c r="G32" s="295"/>
      <c r="H32" s="297"/>
      <c r="I32" s="142"/>
      <c r="J32" s="78"/>
      <c r="K32" s="142"/>
      <c r="L32" s="142"/>
    </row>
    <row r="33" customFormat="false" ht="18" hidden="false" customHeight="true" outlineLevel="0" collapsed="false">
      <c r="A33" s="64"/>
      <c r="B33" s="64" t="s">
        <v>71</v>
      </c>
      <c r="C33" s="71"/>
      <c r="D33" s="64"/>
      <c r="E33" s="64"/>
      <c r="F33" s="216"/>
      <c r="G33" s="216"/>
      <c r="H33" s="216"/>
      <c r="I33" s="216"/>
      <c r="J33" s="217"/>
      <c r="K33" s="218"/>
      <c r="L33" s="64"/>
    </row>
    <row r="34" customFormat="false" ht="18" hidden="false" customHeight="true" outlineLevel="0" collapsed="false">
      <c r="A34" s="64"/>
      <c r="B34" s="64" t="s">
        <v>72</v>
      </c>
      <c r="C34" s="64"/>
      <c r="D34" s="64"/>
      <c r="E34" s="64"/>
      <c r="F34" s="216"/>
      <c r="G34" s="216"/>
      <c r="H34" s="216"/>
      <c r="I34" s="216"/>
      <c r="J34" s="217"/>
      <c r="K34" s="218"/>
      <c r="L34" s="64"/>
    </row>
    <row r="35" customFormat="false" ht="18" hidden="false" customHeight="true" outlineLevel="0" collapsed="false">
      <c r="A35" s="64"/>
      <c r="B35" s="64"/>
      <c r="C35" s="64"/>
      <c r="D35" s="64"/>
      <c r="E35" s="64"/>
      <c r="F35" s="216"/>
      <c r="G35" s="216"/>
      <c r="H35" s="216"/>
      <c r="I35" s="216"/>
      <c r="J35" s="217"/>
      <c r="K35" s="218"/>
      <c r="L35" s="64"/>
    </row>
    <row r="36" customFormat="false" ht="18" hidden="false" customHeight="true" outlineLevel="0" collapsed="false">
      <c r="A36" s="64"/>
      <c r="B36" s="64"/>
      <c r="C36" s="64"/>
      <c r="D36" s="64"/>
      <c r="E36" s="64"/>
      <c r="F36" s="216"/>
      <c r="G36" s="216"/>
      <c r="H36" s="216"/>
      <c r="I36" s="216"/>
      <c r="J36" s="217"/>
      <c r="K36" s="218"/>
      <c r="L36" s="64"/>
    </row>
    <row r="37" customFormat="false" ht="18" hidden="false" customHeight="true" outlineLevel="0" collapsed="false">
      <c r="A37" s="64"/>
      <c r="B37" s="64"/>
      <c r="C37" s="64"/>
      <c r="D37" s="64"/>
      <c r="E37" s="64"/>
      <c r="F37" s="216"/>
      <c r="G37" s="216"/>
      <c r="H37" s="216"/>
      <c r="I37" s="216"/>
      <c r="J37" s="217"/>
      <c r="K37" s="218"/>
      <c r="L37" s="64"/>
    </row>
    <row r="38" customFormat="false" ht="18" hidden="false" customHeight="true" outlineLevel="0" collapsed="false">
      <c r="A38" s="64"/>
      <c r="B38" s="64"/>
      <c r="C38" s="64"/>
      <c r="D38" s="64"/>
      <c r="E38" s="64"/>
      <c r="F38" s="216"/>
      <c r="G38" s="216"/>
      <c r="H38" s="216"/>
      <c r="I38" s="216"/>
      <c r="J38" s="217"/>
      <c r="K38" s="218"/>
      <c r="L38" s="64"/>
    </row>
    <row r="39" customFormat="false" ht="19.35" hidden="false" customHeight="false" outlineLevel="0" collapsed="false"/>
    <row r="40" customFormat="false" ht="19.35" hidden="false" customHeight="false" outlineLevel="0" collapsed="false"/>
    <row r="41" customFormat="false" ht="19.35" hidden="false" customHeight="false" outlineLevel="0" collapsed="false"/>
    <row r="42" customFormat="false" ht="19.35" hidden="false" customHeight="false" outlineLevel="0" collapsed="false"/>
    <row r="43" customFormat="false" ht="19.35" hidden="false" customHeight="false" outlineLevel="0" collapsed="false"/>
    <row r="44" customFormat="false" ht="19.35" hidden="false" customHeight="false" outlineLevel="0" collapsed="false"/>
    <row r="45" customFormat="false" ht="19.35" hidden="false" customHeight="false" outlineLevel="0" collapsed="false"/>
    <row r="46" customFormat="false" ht="19.35" hidden="false" customHeight="false" outlineLevel="0" collapsed="false"/>
    <row r="47" customFormat="false" ht="19.35" hidden="false" customHeight="false" outlineLevel="0" collapsed="false"/>
    <row r="48" customFormat="false" ht="19.35" hidden="false" customHeight="false" outlineLevel="0" collapsed="false"/>
    <row r="49" customFormat="false" ht="19.35" hidden="false" customHeight="false" outlineLevel="0" collapsed="false"/>
    <row r="50" customFormat="false" ht="19.35" hidden="false" customHeight="false" outlineLevel="0" collapsed="false"/>
    <row r="51" customFormat="false" ht="19.35" hidden="false" customHeight="false" outlineLevel="0" collapsed="false"/>
    <row r="52" customFormat="false" ht="19.35" hidden="false" customHeight="false" outlineLevel="0" collapsed="false"/>
    <row r="53" customFormat="false" ht="19.35" hidden="false" customHeight="false" outlineLevel="0" collapsed="false"/>
    <row r="54" customFormat="false" ht="19.35" hidden="false" customHeight="false" outlineLevel="0" collapsed="false"/>
    <row r="55" customFormat="false" ht="19.35" hidden="false" customHeight="false" outlineLevel="0" collapsed="false"/>
    <row r="56" customFormat="false" ht="19.35" hidden="false" customHeight="false" outlineLevel="0" collapsed="false"/>
    <row r="57" customFormat="false" ht="19.35" hidden="false" customHeight="false" outlineLevel="0" collapsed="false"/>
    <row r="58" customFormat="false" ht="19.35" hidden="false" customHeight="false" outlineLevel="0" collapsed="false"/>
    <row r="59" customFormat="false" ht="19.35" hidden="false" customHeight="false" outlineLevel="0" collapsed="false"/>
    <row r="60" customFormat="false" ht="19.35" hidden="false" customHeight="false" outlineLevel="0" collapsed="false"/>
    <row r="61" customFormat="false" ht="19.35" hidden="false" customHeight="false" outlineLevel="0" collapsed="false"/>
    <row r="62" customFormat="false" ht="19.35" hidden="false" customHeight="false" outlineLevel="0" collapsed="false"/>
    <row r="63" customFormat="false" ht="19.35" hidden="false" customHeight="false" outlineLevel="0" collapsed="false"/>
    <row r="64" customFormat="false" ht="19.35" hidden="false" customHeight="false" outlineLevel="0" collapsed="false"/>
    <row r="65" customFormat="false" ht="19.35" hidden="false" customHeight="false" outlineLevel="0" collapsed="false"/>
    <row r="66" customFormat="false" ht="19.35" hidden="false" customHeight="false" outlineLevel="0" collapsed="false"/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10</oddFooter>
  </headerFooter>
  <rowBreaks count="1" manualBreakCount="1">
    <brk id="36" man="true" max="16383" min="0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8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B31" activeCellId="0" sqref="B31 B31"/>
    </sheetView>
  </sheetViews>
  <sheetFormatPr defaultColWidth="9.32421875" defaultRowHeight="17" zeroHeight="false" outlineLevelRow="0" outlineLevelCol="0"/>
  <cols>
    <col collapsed="false" customWidth="true" hidden="false" outlineLevel="0" max="1" min="1" style="14" width="4.82"/>
    <col collapsed="false" customWidth="true" hidden="false" outlineLevel="0" max="2" min="2" style="14" width="6.65"/>
    <col collapsed="false" customWidth="true" hidden="false" outlineLevel="0" max="3" min="3" style="14" width="4.82"/>
    <col collapsed="false" customWidth="true" hidden="false" outlineLevel="0" max="4" min="4" style="14" width="100.82"/>
    <col collapsed="false" customWidth="true" hidden="false" outlineLevel="0" max="6" min="5" style="14" width="2.82"/>
    <col collapsed="false" customWidth="true" hidden="false" outlineLevel="0" max="7" min="7" style="14" width="20.82"/>
    <col collapsed="false" customWidth="true" hidden="false" outlineLevel="0" max="8" min="8" style="14" width="2.82"/>
    <col collapsed="false" customWidth="true" hidden="false" outlineLevel="0" max="9" min="9" style="14" width="20.82"/>
    <col collapsed="false" customWidth="true" hidden="false" outlineLevel="0" max="10" min="10" style="14" width="2.82"/>
    <col collapsed="false" customWidth="true" hidden="false" outlineLevel="0" max="11" min="11" style="14" width="3.99"/>
    <col collapsed="false" customWidth="true" hidden="false" outlineLevel="0" max="12" min="12" style="14" width="2.82"/>
    <col collapsed="false" customWidth="true" hidden="false" outlineLevel="0" max="13" min="13" style="14" width="20.82"/>
    <col collapsed="false" customWidth="true" hidden="false" outlineLevel="0" max="14" min="14" style="14" width="2.82"/>
    <col collapsed="false" customWidth="true" hidden="false" outlineLevel="0" max="15" min="15" style="14" width="20.82"/>
    <col collapsed="false" customWidth="true" hidden="false" outlineLevel="0" max="16" min="16" style="14" width="2.82"/>
    <col collapsed="false" customWidth="true" hidden="false" outlineLevel="0" max="17" min="17" style="14" width="1.82"/>
    <col collapsed="false" customWidth="true" hidden="false" outlineLevel="0" max="18" min="18" style="14" width="18.82"/>
    <col collapsed="false" customWidth="true" hidden="false" outlineLevel="0" max="19" min="19" style="14" width="6.82"/>
    <col collapsed="false" customWidth="true" hidden="false" outlineLevel="0" max="20" min="20" style="14" width="18.82"/>
    <col collapsed="false" customWidth="true" hidden="false" outlineLevel="0" max="21" min="21" style="14" width="2.82"/>
    <col collapsed="false" customWidth="true" hidden="false" outlineLevel="0" max="22" min="22" style="14" width="6.82"/>
    <col collapsed="false" customWidth="false" hidden="false" outlineLevel="0" max="257" min="23" style="14" width="9.32"/>
  </cols>
  <sheetData>
    <row r="1" customFormat="false" ht="18" hidden="false" customHeight="true" outlineLevel="0" collapsed="false">
      <c r="A1" s="298" t="s">
        <v>109</v>
      </c>
      <c r="B1" s="115"/>
      <c r="C1" s="116"/>
      <c r="D1" s="117"/>
      <c r="E1" s="116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116"/>
    </row>
    <row r="2" customFormat="false" ht="26.25" hidden="false" customHeight="true" outlineLevel="0" collapsed="false">
      <c r="B2" s="19" t="s">
        <v>270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288"/>
      <c r="Q2" s="288"/>
      <c r="R2" s="288"/>
      <c r="S2" s="288"/>
      <c r="T2" s="300"/>
      <c r="U2" s="301"/>
      <c r="V2" s="301"/>
      <c r="W2" s="116"/>
    </row>
    <row r="3" customFormat="false" ht="18" hidden="false" customHeight="true" outlineLevel="0" collapsed="false">
      <c r="B3" s="302" t="s">
        <v>271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288"/>
      <c r="Q3" s="301"/>
      <c r="R3" s="301"/>
      <c r="S3" s="301"/>
      <c r="T3" s="301"/>
      <c r="U3" s="301"/>
      <c r="V3" s="123"/>
      <c r="W3" s="73"/>
    </row>
    <row r="4" customFormat="false" ht="18" hidden="false" customHeight="true" outlineLevel="0" collapsed="false">
      <c r="B4" s="303"/>
      <c r="C4" s="119"/>
      <c r="D4" s="119"/>
      <c r="E4" s="119"/>
      <c r="F4" s="119"/>
      <c r="G4" s="119"/>
      <c r="H4" s="119"/>
      <c r="I4" s="119"/>
      <c r="J4" s="301"/>
      <c r="K4" s="301"/>
      <c r="L4" s="301"/>
      <c r="M4" s="119"/>
      <c r="N4" s="119"/>
      <c r="O4" s="119"/>
      <c r="P4" s="301"/>
      <c r="Q4" s="301"/>
      <c r="R4" s="301"/>
      <c r="S4" s="301"/>
      <c r="T4" s="301"/>
      <c r="U4" s="301"/>
      <c r="V4" s="123"/>
      <c r="W4" s="73"/>
    </row>
    <row r="5" customFormat="false" ht="18" hidden="false" customHeight="true" outlineLevel="0" collapsed="false">
      <c r="A5" s="71"/>
      <c r="B5" s="16"/>
      <c r="C5" s="16"/>
      <c r="D5" s="16"/>
      <c r="E5" s="16"/>
      <c r="F5" s="16"/>
      <c r="G5" s="304" t="s">
        <v>272</v>
      </c>
      <c r="H5" s="304"/>
      <c r="I5" s="304"/>
      <c r="J5" s="80"/>
      <c r="K5" s="80"/>
      <c r="L5" s="30"/>
      <c r="M5" s="304" t="s">
        <v>273</v>
      </c>
      <c r="N5" s="304"/>
      <c r="O5" s="304"/>
      <c r="P5" s="80"/>
      <c r="Q5" s="30"/>
      <c r="R5" s="304" t="s">
        <v>274</v>
      </c>
      <c r="S5" s="304"/>
      <c r="T5" s="304"/>
      <c r="U5" s="304"/>
      <c r="V5" s="16"/>
      <c r="W5" s="71"/>
    </row>
    <row r="6" customFormat="false" ht="18.75" hidden="false" customHeight="true" outlineLevel="0" collapsed="false">
      <c r="A6" s="71"/>
      <c r="B6" s="70"/>
      <c r="C6" s="70"/>
      <c r="D6" s="70"/>
      <c r="E6" s="70"/>
      <c r="F6" s="122"/>
      <c r="G6" s="123"/>
      <c r="H6" s="30"/>
      <c r="I6" s="123"/>
      <c r="J6" s="30"/>
      <c r="K6" s="122"/>
      <c r="L6" s="122"/>
      <c r="M6" s="123"/>
      <c r="N6" s="30"/>
      <c r="O6" s="123"/>
      <c r="P6" s="80"/>
      <c r="Q6" s="73"/>
      <c r="R6" s="123"/>
      <c r="S6" s="30"/>
      <c r="T6" s="123"/>
      <c r="U6" s="30"/>
      <c r="V6" s="71"/>
      <c r="W6" s="71"/>
    </row>
    <row r="7" customFormat="false" ht="15" hidden="false" customHeight="true" outlineLevel="0" collapsed="false">
      <c r="A7" s="71"/>
      <c r="B7" s="70"/>
      <c r="C7" s="121"/>
      <c r="D7" s="70"/>
      <c r="E7" s="122"/>
      <c r="F7" s="122"/>
      <c r="G7" s="123"/>
      <c r="H7" s="80"/>
      <c r="I7" s="123"/>
      <c r="J7" s="80"/>
      <c r="K7" s="122"/>
      <c r="L7" s="122"/>
      <c r="M7" s="123"/>
      <c r="N7" s="80"/>
      <c r="O7" s="123"/>
      <c r="P7" s="123"/>
      <c r="Q7" s="81"/>
      <c r="R7" s="123"/>
      <c r="S7" s="80"/>
      <c r="T7" s="123"/>
      <c r="U7" s="80"/>
      <c r="V7" s="71"/>
      <c r="W7" s="71"/>
    </row>
    <row r="8" customFormat="false" ht="21" hidden="false" customHeight="true" outlineLevel="0" collapsed="false">
      <c r="A8" s="71"/>
      <c r="B8" s="305" t="s">
        <v>275</v>
      </c>
      <c r="C8" s="125"/>
      <c r="D8" s="126"/>
      <c r="E8" s="74"/>
      <c r="F8" s="74"/>
      <c r="G8" s="26" t="s">
        <v>2</v>
      </c>
      <c r="H8" s="73"/>
      <c r="I8" s="26" t="s">
        <v>1</v>
      </c>
      <c r="J8" s="306"/>
      <c r="K8" s="74"/>
      <c r="L8" s="74"/>
      <c r="M8" s="26" t="s">
        <v>2</v>
      </c>
      <c r="N8" s="73"/>
      <c r="O8" s="26" t="s">
        <v>1</v>
      </c>
      <c r="P8" s="74"/>
      <c r="Q8" s="307"/>
      <c r="R8" s="26" t="s">
        <v>2</v>
      </c>
      <c r="S8" s="73"/>
      <c r="T8" s="26" t="s">
        <v>1</v>
      </c>
      <c r="U8" s="306"/>
      <c r="V8" s="71"/>
      <c r="W8" s="71"/>
    </row>
    <row r="9" customFormat="false" ht="19.5" hidden="false" customHeight="true" outlineLevel="0" collapsed="false">
      <c r="A9" s="71"/>
      <c r="B9" s="308" t="s">
        <v>74</v>
      </c>
      <c r="C9" s="309"/>
      <c r="D9" s="310"/>
      <c r="E9" s="74"/>
      <c r="F9" s="74"/>
      <c r="G9" s="74"/>
      <c r="H9" s="25"/>
      <c r="I9" s="74"/>
      <c r="J9" s="25"/>
      <c r="K9" s="74"/>
      <c r="L9" s="74"/>
      <c r="M9" s="74"/>
      <c r="N9" s="25"/>
      <c r="O9" s="74"/>
      <c r="P9" s="74"/>
      <c r="Q9" s="307"/>
      <c r="R9" s="74"/>
      <c r="S9" s="25"/>
      <c r="T9" s="74"/>
      <c r="U9" s="25"/>
      <c r="V9" s="71"/>
      <c r="W9" s="71"/>
    </row>
    <row r="10" customFormat="false" ht="21.75" hidden="false" customHeight="true" outlineLevel="0" collapsed="false">
      <c r="A10" s="71"/>
      <c r="B10" s="149"/>
      <c r="C10" s="85" t="s">
        <v>276</v>
      </c>
      <c r="D10" s="311"/>
      <c r="E10" s="74"/>
      <c r="F10" s="74"/>
      <c r="G10" s="312" t="n">
        <v>295330</v>
      </c>
      <c r="H10" s="312"/>
      <c r="I10" s="312" t="n">
        <v>305658</v>
      </c>
      <c r="J10" s="209"/>
      <c r="K10" s="74"/>
      <c r="L10" s="74"/>
      <c r="M10" s="313" t="n">
        <v>159</v>
      </c>
      <c r="N10" s="209"/>
      <c r="O10" s="313" t="n">
        <v>2343</v>
      </c>
      <c r="P10" s="290"/>
      <c r="Q10" s="290"/>
      <c r="R10" s="314" t="n">
        <v>0.0021</v>
      </c>
      <c r="S10" s="314"/>
      <c r="T10" s="314" t="n">
        <v>0.0304</v>
      </c>
      <c r="U10" s="315"/>
      <c r="V10" s="71"/>
      <c r="W10" s="71"/>
    </row>
    <row r="11" customFormat="false" ht="18" hidden="false" customHeight="true" outlineLevel="0" collapsed="false">
      <c r="A11" s="71"/>
      <c r="B11" s="149"/>
      <c r="C11" s="85" t="s">
        <v>277</v>
      </c>
      <c r="D11" s="311"/>
      <c r="E11" s="74"/>
      <c r="F11" s="74"/>
      <c r="G11" s="316" t="n">
        <v>341256</v>
      </c>
      <c r="H11" s="316"/>
      <c r="I11" s="316" t="n">
        <v>358513</v>
      </c>
      <c r="J11" s="88"/>
      <c r="K11" s="74"/>
      <c r="L11" s="74"/>
      <c r="M11" s="88" t="n">
        <v>289</v>
      </c>
      <c r="N11" s="88"/>
      <c r="O11" s="88" t="n">
        <v>3779</v>
      </c>
      <c r="P11" s="290"/>
      <c r="Q11" s="290"/>
      <c r="R11" s="314" t="n">
        <v>0.0034</v>
      </c>
      <c r="S11" s="314"/>
      <c r="T11" s="314" t="n">
        <v>0.0418</v>
      </c>
      <c r="U11" s="317"/>
      <c r="V11" s="71"/>
      <c r="W11" s="71"/>
    </row>
    <row r="12" customFormat="false" ht="18" hidden="false" customHeight="true" outlineLevel="0" collapsed="false">
      <c r="A12" s="71"/>
      <c r="B12" s="149"/>
      <c r="C12" s="85" t="s">
        <v>278</v>
      </c>
      <c r="D12" s="311"/>
      <c r="E12" s="74"/>
      <c r="F12" s="74"/>
      <c r="G12" s="316" t="n">
        <v>269149</v>
      </c>
      <c r="H12" s="316"/>
      <c r="I12" s="316" t="n">
        <v>277374</v>
      </c>
      <c r="J12" s="88"/>
      <c r="K12" s="74"/>
      <c r="L12" s="74"/>
      <c r="M12" s="88" t="n">
        <v>1276</v>
      </c>
      <c r="N12" s="88"/>
      <c r="O12" s="88" t="n">
        <v>2626</v>
      </c>
      <c r="P12" s="290"/>
      <c r="Q12" s="290"/>
      <c r="R12" s="314" t="n">
        <v>0.0188</v>
      </c>
      <c r="S12" s="314"/>
      <c r="T12" s="314" t="n">
        <v>0.0376</v>
      </c>
      <c r="U12" s="317"/>
      <c r="V12" s="71"/>
      <c r="W12" s="71"/>
    </row>
    <row r="13" customFormat="false" ht="18" hidden="false" customHeight="true" outlineLevel="0" collapsed="false">
      <c r="A13" s="71"/>
      <c r="B13" s="149"/>
      <c r="C13" s="85" t="s">
        <v>279</v>
      </c>
      <c r="D13" s="311"/>
      <c r="E13" s="74"/>
      <c r="F13" s="74"/>
      <c r="G13" s="316" t="n">
        <v>512181</v>
      </c>
      <c r="H13" s="316"/>
      <c r="I13" s="316" t="n">
        <v>519072</v>
      </c>
      <c r="J13" s="88"/>
      <c r="K13" s="74"/>
      <c r="L13" s="74"/>
      <c r="M13" s="88" t="n">
        <v>1951</v>
      </c>
      <c r="N13" s="88"/>
      <c r="O13" s="88" t="n">
        <v>3812</v>
      </c>
      <c r="P13" s="290"/>
      <c r="Q13" s="290"/>
      <c r="R13" s="314" t="n">
        <v>0.0151</v>
      </c>
      <c r="S13" s="314"/>
      <c r="T13" s="314" t="n">
        <v>0.0291</v>
      </c>
      <c r="U13" s="317"/>
      <c r="V13" s="71"/>
      <c r="W13" s="71"/>
    </row>
    <row r="14" customFormat="false" ht="28.5" hidden="false" customHeight="true" outlineLevel="0" collapsed="false">
      <c r="A14" s="71"/>
      <c r="B14" s="149"/>
      <c r="C14" s="85" t="s">
        <v>280</v>
      </c>
      <c r="D14" s="311"/>
      <c r="E14" s="74"/>
      <c r="F14" s="74"/>
      <c r="G14" s="316" t="n">
        <v>371481</v>
      </c>
      <c r="H14" s="316"/>
      <c r="I14" s="316" t="n">
        <v>360518</v>
      </c>
      <c r="J14" s="88"/>
      <c r="K14" s="74"/>
      <c r="L14" s="74"/>
      <c r="M14" s="88" t="n">
        <v>6618</v>
      </c>
      <c r="N14" s="88"/>
      <c r="O14" s="88" t="n">
        <v>8148</v>
      </c>
      <c r="P14" s="290"/>
      <c r="Q14" s="290"/>
      <c r="R14" s="314" t="n">
        <v>0.0707</v>
      </c>
      <c r="S14" s="314"/>
      <c r="T14" s="314" t="n">
        <v>0.0897</v>
      </c>
      <c r="U14" s="317"/>
      <c r="V14" s="71"/>
      <c r="W14" s="71"/>
    </row>
    <row r="15" customFormat="false" ht="18" hidden="false" customHeight="true" outlineLevel="0" collapsed="false">
      <c r="A15" s="71"/>
      <c r="B15" s="149"/>
      <c r="C15" s="85" t="s">
        <v>281</v>
      </c>
      <c r="D15" s="311"/>
      <c r="E15" s="74"/>
      <c r="F15" s="74"/>
      <c r="G15" s="318" t="n">
        <v>295927</v>
      </c>
      <c r="H15" s="316"/>
      <c r="I15" s="318" t="n">
        <v>291984</v>
      </c>
      <c r="J15" s="88"/>
      <c r="K15" s="74"/>
      <c r="L15" s="74"/>
      <c r="M15" s="318" t="n">
        <v>2328</v>
      </c>
      <c r="N15" s="88"/>
      <c r="O15" s="318" t="n">
        <v>4121</v>
      </c>
      <c r="P15" s="290"/>
      <c r="Q15" s="290"/>
      <c r="R15" s="314" t="n">
        <v>0.0312</v>
      </c>
      <c r="S15" s="314"/>
      <c r="T15" s="314" t="n">
        <v>0.056</v>
      </c>
      <c r="U15" s="317"/>
      <c r="V15" s="71"/>
      <c r="W15" s="71"/>
    </row>
    <row r="16" customFormat="false" ht="18" hidden="false" customHeight="true" outlineLevel="0" collapsed="false">
      <c r="A16" s="71"/>
      <c r="B16" s="149"/>
      <c r="C16" s="85" t="s">
        <v>282</v>
      </c>
      <c r="D16" s="311"/>
      <c r="E16" s="74"/>
      <c r="F16" s="74"/>
      <c r="G16" s="316" t="n">
        <v>667408</v>
      </c>
      <c r="H16" s="316"/>
      <c r="I16" s="316" t="n">
        <v>652502</v>
      </c>
      <c r="J16" s="88"/>
      <c r="K16" s="74"/>
      <c r="L16" s="74"/>
      <c r="M16" s="88" t="n">
        <v>8946</v>
      </c>
      <c r="N16" s="88"/>
      <c r="O16" s="88" t="n">
        <v>12269</v>
      </c>
      <c r="P16" s="290"/>
      <c r="Q16" s="290"/>
      <c r="R16" s="314" t="n">
        <v>0.0532</v>
      </c>
      <c r="S16" s="314"/>
      <c r="T16" s="314" t="n">
        <v>0.0746</v>
      </c>
      <c r="U16" s="317"/>
      <c r="V16" s="71"/>
      <c r="W16" s="71"/>
    </row>
    <row r="17" customFormat="false" ht="18" hidden="false" customHeight="true" outlineLevel="0" collapsed="false">
      <c r="A17" s="71"/>
      <c r="B17" s="149"/>
      <c r="C17" s="85" t="s">
        <v>283</v>
      </c>
      <c r="D17" s="311"/>
      <c r="E17" s="74"/>
      <c r="F17" s="74"/>
      <c r="G17" s="316" t="n">
        <v>86527</v>
      </c>
      <c r="H17" s="316"/>
      <c r="I17" s="316" t="n">
        <v>98131</v>
      </c>
      <c r="J17" s="88"/>
      <c r="K17" s="74"/>
      <c r="L17" s="74"/>
      <c r="M17" s="88" t="n">
        <v>249</v>
      </c>
      <c r="N17" s="88"/>
      <c r="O17" s="88" t="n">
        <v>912</v>
      </c>
      <c r="P17" s="290"/>
      <c r="Q17" s="290"/>
      <c r="R17" s="314" t="n">
        <v>0.0114</v>
      </c>
      <c r="S17" s="314"/>
      <c r="T17" s="314" t="n">
        <v>0.0369</v>
      </c>
      <c r="U17" s="317"/>
      <c r="V17" s="71"/>
      <c r="W17" s="71"/>
    </row>
    <row r="18" s="320" customFormat="true" ht="21.75" hidden="false" customHeight="true" outlineLevel="0" collapsed="false">
      <c r="A18" s="315"/>
      <c r="B18" s="315" t="s">
        <v>284</v>
      </c>
      <c r="C18" s="315"/>
      <c r="D18" s="315"/>
      <c r="E18" s="315"/>
      <c r="F18" s="315"/>
      <c r="G18" s="319" t="n">
        <v>2171851</v>
      </c>
      <c r="H18" s="315"/>
      <c r="I18" s="319" t="n">
        <v>2211250</v>
      </c>
      <c r="J18" s="315"/>
      <c r="K18" s="315"/>
      <c r="L18" s="315"/>
      <c r="M18" s="319" t="n">
        <v>12870</v>
      </c>
      <c r="N18" s="315"/>
      <c r="O18" s="319" t="n">
        <v>25741</v>
      </c>
      <c r="P18" s="315"/>
      <c r="Q18" s="315"/>
      <c r="R18" s="314" t="n">
        <v>0.0235</v>
      </c>
      <c r="S18" s="314"/>
      <c r="T18" s="314" t="n">
        <v>0.0462</v>
      </c>
      <c r="U18" s="315"/>
      <c r="V18" s="315"/>
      <c r="W18" s="315"/>
    </row>
    <row r="19" s="141" customFormat="true" ht="18" hidden="false" customHeight="true" outlineLevel="0" collapsed="false">
      <c r="A19" s="133"/>
      <c r="B19" s="124"/>
      <c r="C19" s="124"/>
      <c r="D19" s="43"/>
      <c r="E19" s="81"/>
      <c r="F19" s="81"/>
      <c r="G19" s="193"/>
      <c r="H19" s="98"/>
      <c r="I19" s="193"/>
      <c r="J19" s="98"/>
      <c r="K19" s="81"/>
      <c r="L19" s="81"/>
      <c r="M19" s="315"/>
      <c r="N19" s="315"/>
      <c r="O19" s="321"/>
      <c r="P19" s="315"/>
      <c r="Q19" s="315"/>
      <c r="R19" s="314"/>
      <c r="S19" s="314"/>
      <c r="T19" s="314"/>
      <c r="U19" s="315"/>
      <c r="V19" s="133"/>
      <c r="W19" s="133"/>
    </row>
    <row r="20" customFormat="false" ht="18" hidden="false" customHeight="true" outlineLevel="0" collapsed="false">
      <c r="A20" s="71"/>
      <c r="B20" s="308" t="s">
        <v>94</v>
      </c>
      <c r="C20" s="309"/>
      <c r="D20" s="310"/>
      <c r="E20" s="74"/>
      <c r="F20" s="74"/>
      <c r="G20" s="74"/>
      <c r="H20" s="25"/>
      <c r="I20" s="74"/>
      <c r="J20" s="25"/>
      <c r="K20" s="74"/>
      <c r="L20" s="74"/>
      <c r="M20" s="74"/>
      <c r="N20" s="25"/>
      <c r="O20" s="74"/>
      <c r="P20" s="74"/>
      <c r="Q20" s="307"/>
      <c r="R20" s="314"/>
      <c r="S20" s="314"/>
      <c r="T20" s="314"/>
      <c r="U20" s="25"/>
      <c r="V20" s="71"/>
      <c r="W20" s="71"/>
    </row>
    <row r="21" customFormat="false" ht="24.75" hidden="false" customHeight="true" outlineLevel="0" collapsed="false">
      <c r="A21" s="71"/>
      <c r="B21" s="149"/>
      <c r="C21" s="85" t="s">
        <v>285</v>
      </c>
      <c r="D21" s="311"/>
      <c r="E21" s="74"/>
      <c r="F21" s="74"/>
      <c r="G21" s="322" t="n">
        <v>1111944</v>
      </c>
      <c r="H21" s="209"/>
      <c r="I21" s="322" t="n">
        <v>1131425</v>
      </c>
      <c r="J21" s="209"/>
      <c r="K21" s="74"/>
      <c r="L21" s="74"/>
      <c r="M21" s="322" t="n">
        <v>778</v>
      </c>
      <c r="N21" s="209"/>
      <c r="O21" s="322" t="n">
        <v>5998</v>
      </c>
      <c r="P21" s="209"/>
      <c r="Q21" s="290"/>
      <c r="R21" s="314" t="n">
        <v>0.0028</v>
      </c>
      <c r="S21" s="314"/>
      <c r="T21" s="314" t="n">
        <v>0.021</v>
      </c>
      <c r="U21" s="317"/>
      <c r="V21" s="71"/>
      <c r="W21" s="71"/>
    </row>
    <row r="22" customFormat="false" ht="18" hidden="false" customHeight="true" outlineLevel="0" collapsed="false">
      <c r="A22" s="71"/>
      <c r="B22" s="149"/>
      <c r="C22" s="85" t="s">
        <v>286</v>
      </c>
      <c r="D22" s="311"/>
      <c r="E22" s="74"/>
      <c r="F22" s="74"/>
      <c r="G22" s="88" t="n">
        <v>221948</v>
      </c>
      <c r="H22" s="88"/>
      <c r="I22" s="88" t="n">
        <v>205138</v>
      </c>
      <c r="J22" s="88"/>
      <c r="K22" s="74"/>
      <c r="L22" s="74"/>
      <c r="M22" s="88" t="n">
        <v>212</v>
      </c>
      <c r="N22" s="88"/>
      <c r="O22" s="88" t="n">
        <v>2267</v>
      </c>
      <c r="P22" s="88"/>
      <c r="Q22" s="290"/>
      <c r="R22" s="314" t="n">
        <v>0.0038</v>
      </c>
      <c r="S22" s="314"/>
      <c r="T22" s="314" t="n">
        <v>0.0438</v>
      </c>
      <c r="U22" s="317"/>
      <c r="V22" s="71"/>
      <c r="W22" s="71"/>
    </row>
    <row r="23" customFormat="false" ht="18" hidden="false" customHeight="true" outlineLevel="0" collapsed="false">
      <c r="A23" s="71"/>
      <c r="B23" s="149"/>
      <c r="C23" s="85" t="s">
        <v>287</v>
      </c>
      <c r="D23" s="311"/>
      <c r="E23" s="74"/>
      <c r="F23" s="74"/>
      <c r="G23" s="88" t="n">
        <v>114233</v>
      </c>
      <c r="H23" s="88"/>
      <c r="I23" s="88" t="n">
        <v>121423</v>
      </c>
      <c r="J23" s="88"/>
      <c r="K23" s="74"/>
      <c r="L23" s="74"/>
      <c r="M23" s="88" t="n">
        <v>112</v>
      </c>
      <c r="N23" s="88"/>
      <c r="O23" s="88" t="n">
        <v>681</v>
      </c>
      <c r="P23" s="88"/>
      <c r="Q23" s="290"/>
      <c r="R23" s="314" t="n">
        <v>0.0039</v>
      </c>
      <c r="S23" s="314"/>
      <c r="T23" s="314" t="n">
        <v>0.0223</v>
      </c>
      <c r="U23" s="317"/>
      <c r="V23" s="71"/>
      <c r="W23" s="71"/>
    </row>
    <row r="24" customFormat="false" ht="18" hidden="false" customHeight="true" outlineLevel="0" collapsed="false">
      <c r="A24" s="71"/>
      <c r="B24" s="149"/>
      <c r="C24" s="85" t="s">
        <v>288</v>
      </c>
      <c r="D24" s="311"/>
      <c r="E24" s="74"/>
      <c r="F24" s="74"/>
      <c r="G24" s="88" t="n">
        <v>103523</v>
      </c>
      <c r="H24" s="88"/>
      <c r="I24" s="88" t="n">
        <v>153326</v>
      </c>
      <c r="J24" s="88"/>
      <c r="K24" s="74"/>
      <c r="L24" s="74"/>
      <c r="M24" s="88" t="n">
        <v>51</v>
      </c>
      <c r="N24" s="88"/>
      <c r="O24" s="88" t="n">
        <v>1420</v>
      </c>
      <c r="P24" s="88"/>
      <c r="Q24" s="290"/>
      <c r="R24" s="314" t="n">
        <v>0.002</v>
      </c>
      <c r="S24" s="314"/>
      <c r="T24" s="314" t="n">
        <v>0.0367</v>
      </c>
      <c r="U24" s="317"/>
      <c r="V24" s="71"/>
      <c r="W24" s="71"/>
    </row>
    <row r="25" customFormat="false" ht="18" hidden="false" customHeight="true" outlineLevel="0" collapsed="false">
      <c r="A25" s="71"/>
      <c r="B25" s="149"/>
      <c r="C25" s="85" t="s">
        <v>289</v>
      </c>
      <c r="D25" s="311"/>
      <c r="E25" s="74"/>
      <c r="F25" s="74"/>
      <c r="G25" s="88" t="n">
        <v>175804</v>
      </c>
      <c r="H25" s="88"/>
      <c r="I25" s="88" t="n">
        <v>169642</v>
      </c>
      <c r="J25" s="88"/>
      <c r="K25" s="74"/>
      <c r="L25" s="74"/>
      <c r="M25" s="88" t="n">
        <v>856</v>
      </c>
      <c r="N25" s="88"/>
      <c r="O25" s="88" t="n">
        <v>2072</v>
      </c>
      <c r="P25" s="88"/>
      <c r="Q25" s="290"/>
      <c r="R25" s="314" t="n">
        <v>0.0193</v>
      </c>
      <c r="S25" s="314"/>
      <c r="T25" s="314" t="n">
        <v>0.0485</v>
      </c>
      <c r="U25" s="317"/>
      <c r="V25" s="71"/>
      <c r="W25" s="71"/>
    </row>
    <row r="26" s="141" customFormat="true" ht="22.5" hidden="false" customHeight="true" outlineLevel="0" collapsed="false">
      <c r="A26" s="133"/>
      <c r="B26" s="124" t="s">
        <v>290</v>
      </c>
      <c r="C26" s="124"/>
      <c r="D26" s="43"/>
      <c r="E26" s="81"/>
      <c r="F26" s="81"/>
      <c r="G26" s="319" t="n">
        <v>1727452</v>
      </c>
      <c r="H26" s="315"/>
      <c r="I26" s="319" t="n">
        <v>1780954</v>
      </c>
      <c r="J26" s="315"/>
      <c r="K26" s="315"/>
      <c r="L26" s="315"/>
      <c r="M26" s="319" t="n">
        <v>2009</v>
      </c>
      <c r="N26" s="315"/>
      <c r="O26" s="319" t="n">
        <v>12438</v>
      </c>
      <c r="P26" s="98"/>
      <c r="Q26" s="315"/>
      <c r="R26" s="314" t="n">
        <v>0.0046</v>
      </c>
      <c r="S26" s="314"/>
      <c r="T26" s="314" t="n">
        <v>0.0277</v>
      </c>
      <c r="U26" s="315"/>
      <c r="V26" s="133"/>
      <c r="W26" s="133"/>
    </row>
    <row r="27" s="141" customFormat="true" ht="18" hidden="false" customHeight="true" outlineLevel="0" collapsed="false">
      <c r="A27" s="133"/>
      <c r="B27" s="124"/>
      <c r="C27" s="124"/>
      <c r="D27" s="43"/>
      <c r="E27" s="81"/>
      <c r="F27" s="81"/>
      <c r="G27" s="323"/>
      <c r="H27" s="98"/>
      <c r="I27" s="323"/>
      <c r="J27" s="98"/>
      <c r="K27" s="81"/>
      <c r="L27" s="81"/>
      <c r="M27" s="323"/>
      <c r="N27" s="315"/>
      <c r="O27" s="323"/>
      <c r="P27" s="98"/>
      <c r="Q27" s="315"/>
      <c r="R27" s="314"/>
      <c r="S27" s="314"/>
      <c r="T27" s="314"/>
      <c r="U27" s="315"/>
      <c r="V27" s="133"/>
      <c r="W27" s="133"/>
    </row>
    <row r="28" customFormat="false" ht="18" hidden="false" customHeight="true" outlineLevel="0" collapsed="false">
      <c r="A28" s="71"/>
      <c r="B28" s="124"/>
      <c r="C28" s="71"/>
      <c r="D28" s="71"/>
      <c r="E28" s="73"/>
      <c r="F28" s="73"/>
      <c r="G28" s="84"/>
      <c r="H28" s="84"/>
      <c r="I28" s="84"/>
      <c r="J28" s="84"/>
      <c r="K28" s="73"/>
      <c r="L28" s="73"/>
      <c r="M28" s="84"/>
      <c r="N28" s="267"/>
      <c r="O28" s="84"/>
      <c r="P28" s="267"/>
      <c r="Q28" s="267"/>
      <c r="R28" s="314"/>
      <c r="S28" s="267"/>
      <c r="T28" s="314"/>
      <c r="U28" s="267"/>
      <c r="V28" s="71"/>
      <c r="W28" s="71"/>
    </row>
    <row r="29" s="141" customFormat="true" ht="28.5" hidden="false" customHeight="true" outlineLevel="0" collapsed="false">
      <c r="A29" s="133"/>
      <c r="B29" s="134" t="s">
        <v>291</v>
      </c>
      <c r="C29" s="324"/>
      <c r="D29" s="136"/>
      <c r="E29" s="136"/>
      <c r="F29" s="136"/>
      <c r="G29" s="325"/>
      <c r="H29" s="326"/>
      <c r="I29" s="325"/>
      <c r="J29" s="326"/>
      <c r="K29" s="136"/>
      <c r="L29" s="136"/>
      <c r="M29" s="325" t="n">
        <v>10861</v>
      </c>
      <c r="N29" s="327"/>
      <c r="O29" s="325" t="n">
        <v>13303</v>
      </c>
      <c r="P29" s="327"/>
      <c r="Q29" s="327"/>
      <c r="R29" s="328" t="n">
        <v>0.0198</v>
      </c>
      <c r="S29" s="328"/>
      <c r="T29" s="328" t="n">
        <v>0.0239</v>
      </c>
      <c r="U29" s="327"/>
      <c r="V29" s="329"/>
      <c r="W29" s="133"/>
    </row>
    <row r="30" s="141" customFormat="true" ht="18" hidden="false" customHeight="true" outlineLevel="0" collapsed="false">
      <c r="A30" s="133"/>
      <c r="B30" s="91"/>
      <c r="C30" s="330"/>
      <c r="D30" s="81"/>
      <c r="E30" s="81"/>
      <c r="F30" s="81"/>
      <c r="G30" s="331"/>
      <c r="H30" s="98"/>
      <c r="I30" s="331"/>
      <c r="J30" s="98"/>
      <c r="K30" s="81"/>
      <c r="L30" s="81"/>
      <c r="M30" s="331"/>
      <c r="N30" s="315"/>
      <c r="O30" s="331"/>
      <c r="P30" s="315"/>
      <c r="Q30" s="315"/>
      <c r="R30" s="314"/>
      <c r="S30" s="314"/>
      <c r="T30" s="314"/>
      <c r="U30" s="315"/>
      <c r="V30" s="81"/>
      <c r="W30" s="133"/>
    </row>
    <row r="31" s="141" customFormat="true" ht="28.5" hidden="false" customHeight="true" outlineLevel="0" collapsed="false">
      <c r="A31" s="133"/>
      <c r="B31" s="134" t="s">
        <v>292</v>
      </c>
      <c r="C31" s="324"/>
      <c r="D31" s="136"/>
      <c r="E31" s="136"/>
      <c r="F31" s="136"/>
      <c r="G31" s="332"/>
      <c r="H31" s="332"/>
      <c r="I31" s="332"/>
      <c r="J31" s="326"/>
      <c r="K31" s="136"/>
      <c r="L31" s="136"/>
      <c r="M31" s="333"/>
      <c r="N31" s="327"/>
      <c r="O31" s="333"/>
      <c r="P31" s="327"/>
      <c r="Q31" s="327"/>
      <c r="R31" s="334" t="n">
        <v>41</v>
      </c>
      <c r="S31" s="327" t="s">
        <v>293</v>
      </c>
      <c r="T31" s="334"/>
      <c r="U31" s="327"/>
      <c r="V31" s="329"/>
      <c r="W31" s="133"/>
    </row>
    <row r="32" s="141" customFormat="true" ht="18" hidden="false" customHeight="true" outlineLevel="0" collapsed="false">
      <c r="A32" s="133"/>
      <c r="B32" s="91"/>
      <c r="C32" s="330"/>
      <c r="D32" s="81"/>
      <c r="E32" s="81"/>
      <c r="F32" s="81"/>
      <c r="G32" s="96"/>
      <c r="H32" s="96"/>
      <c r="I32" s="96"/>
      <c r="J32" s="98"/>
      <c r="K32" s="81"/>
      <c r="L32" s="81"/>
      <c r="M32" s="317"/>
      <c r="N32" s="315"/>
      <c r="O32" s="317"/>
      <c r="P32" s="315"/>
      <c r="Q32" s="315"/>
      <c r="R32" s="335"/>
      <c r="S32" s="315"/>
      <c r="T32" s="335"/>
      <c r="U32" s="315"/>
      <c r="V32" s="81"/>
      <c r="W32" s="133"/>
    </row>
    <row r="33" s="141" customFormat="true" ht="18" hidden="false" customHeight="true" outlineLevel="0" collapsed="false">
      <c r="A33" s="71"/>
      <c r="B33" s="71" t="s">
        <v>61</v>
      </c>
      <c r="C33" s="336" t="s">
        <v>294</v>
      </c>
      <c r="D33" s="337"/>
      <c r="E33" s="73"/>
      <c r="F33" s="81"/>
      <c r="G33" s="96"/>
      <c r="H33" s="98"/>
      <c r="I33" s="96"/>
      <c r="J33" s="98"/>
      <c r="K33" s="81"/>
      <c r="L33" s="81"/>
      <c r="M33" s="317"/>
      <c r="N33" s="315"/>
      <c r="O33" s="338"/>
      <c r="P33" s="315"/>
      <c r="Q33" s="315"/>
      <c r="R33" s="317"/>
      <c r="S33" s="315"/>
      <c r="T33" s="317"/>
      <c r="U33" s="267"/>
      <c r="V33" s="73"/>
      <c r="W33" s="133"/>
    </row>
    <row r="34" s="141" customFormat="true" ht="18" hidden="false" customHeight="true" outlineLevel="0" collapsed="false">
      <c r="A34" s="71"/>
      <c r="B34" s="71" t="s">
        <v>63</v>
      </c>
      <c r="C34" s="85" t="s">
        <v>295</v>
      </c>
      <c r="D34" s="337"/>
      <c r="E34" s="73"/>
      <c r="F34" s="81"/>
      <c r="G34" s="96"/>
      <c r="H34" s="98"/>
      <c r="I34" s="96"/>
      <c r="J34" s="98"/>
      <c r="K34" s="81"/>
      <c r="L34" s="81"/>
      <c r="M34" s="317"/>
      <c r="N34" s="315"/>
      <c r="O34" s="317"/>
      <c r="P34" s="315"/>
      <c r="Q34" s="315"/>
      <c r="R34" s="317"/>
      <c r="S34" s="315"/>
      <c r="T34" s="317"/>
      <c r="U34" s="267"/>
      <c r="V34" s="73"/>
      <c r="W34" s="133"/>
    </row>
    <row r="35" s="141" customFormat="true" ht="18" hidden="false" customHeight="true" outlineLevel="0" collapsed="false">
      <c r="A35" s="71"/>
      <c r="B35" s="71" t="s">
        <v>65</v>
      </c>
      <c r="C35" s="85" t="s">
        <v>296</v>
      </c>
      <c r="D35" s="337"/>
      <c r="E35" s="73"/>
      <c r="F35" s="81"/>
      <c r="G35" s="96"/>
      <c r="H35" s="98"/>
      <c r="I35" s="339"/>
      <c r="J35" s="98"/>
      <c r="K35" s="81"/>
      <c r="L35" s="81"/>
      <c r="M35" s="317"/>
      <c r="N35" s="315"/>
      <c r="O35" s="317"/>
      <c r="P35" s="315"/>
      <c r="Q35" s="315"/>
      <c r="R35" s="317"/>
      <c r="S35" s="315"/>
      <c r="T35" s="317"/>
      <c r="U35" s="267"/>
      <c r="V35" s="73"/>
      <c r="W35" s="133"/>
    </row>
    <row r="36" s="141" customFormat="true" ht="18" hidden="false" customHeight="true" outlineLevel="0" collapsed="false">
      <c r="A36" s="71"/>
      <c r="B36" s="71" t="s">
        <v>67</v>
      </c>
      <c r="C36" s="85" t="s">
        <v>297</v>
      </c>
      <c r="D36" s="337"/>
      <c r="E36" s="73"/>
      <c r="F36" s="81"/>
      <c r="G36" s="96"/>
      <c r="H36" s="98"/>
      <c r="I36" s="96"/>
      <c r="J36" s="98"/>
      <c r="K36" s="81"/>
      <c r="L36" s="81"/>
      <c r="M36" s="317"/>
      <c r="N36" s="315"/>
      <c r="O36" s="317"/>
      <c r="P36" s="315"/>
      <c r="Q36" s="315"/>
      <c r="R36" s="317"/>
      <c r="S36" s="315"/>
      <c r="T36" s="314"/>
      <c r="U36" s="267"/>
      <c r="V36" s="73"/>
      <c r="W36" s="133"/>
    </row>
    <row r="37" s="141" customFormat="true" ht="18" hidden="false" customHeight="true" outlineLevel="0" collapsed="false">
      <c r="A37" s="71"/>
      <c r="B37" s="71" t="s">
        <v>69</v>
      </c>
      <c r="C37" s="85" t="s">
        <v>298</v>
      </c>
      <c r="D37" s="337"/>
      <c r="E37" s="73"/>
      <c r="F37" s="81"/>
      <c r="G37" s="96"/>
      <c r="H37" s="98"/>
      <c r="I37" s="96"/>
      <c r="J37" s="98"/>
      <c r="K37" s="81"/>
      <c r="L37" s="81"/>
      <c r="M37" s="317"/>
      <c r="N37" s="315"/>
      <c r="O37" s="317"/>
      <c r="P37" s="315"/>
      <c r="Q37" s="315"/>
      <c r="R37" s="317"/>
      <c r="S37" s="315"/>
      <c r="T37" s="317"/>
      <c r="U37" s="267"/>
      <c r="V37" s="73"/>
      <c r="W37" s="133"/>
    </row>
    <row r="38" s="141" customFormat="true" ht="18" hidden="false" customHeight="true" outlineLevel="0" collapsed="false">
      <c r="A38" s="71"/>
      <c r="B38" s="71" t="s">
        <v>299</v>
      </c>
      <c r="C38" s="85" t="s">
        <v>300</v>
      </c>
      <c r="D38" s="337"/>
      <c r="E38" s="73"/>
      <c r="F38" s="81"/>
      <c r="G38" s="96"/>
      <c r="H38" s="98"/>
      <c r="I38" s="96"/>
      <c r="J38" s="98"/>
      <c r="K38" s="81"/>
      <c r="L38" s="81"/>
      <c r="M38" s="317"/>
      <c r="N38" s="315"/>
      <c r="O38" s="317"/>
      <c r="P38" s="315"/>
      <c r="Q38" s="315"/>
      <c r="R38" s="317"/>
      <c r="S38" s="315"/>
      <c r="T38" s="317"/>
      <c r="U38" s="267"/>
      <c r="V38" s="73"/>
      <c r="W38" s="133"/>
    </row>
    <row r="39" s="141" customFormat="true" ht="18" hidden="false" customHeight="true" outlineLevel="0" collapsed="false">
      <c r="A39" s="71"/>
      <c r="B39" s="71"/>
      <c r="C39" s="85" t="s">
        <v>301</v>
      </c>
      <c r="D39" s="337"/>
      <c r="E39" s="73"/>
      <c r="F39" s="81"/>
      <c r="G39" s="96"/>
      <c r="H39" s="98"/>
      <c r="I39" s="96"/>
      <c r="J39" s="98"/>
      <c r="K39" s="81"/>
      <c r="L39" s="81"/>
      <c r="M39" s="317"/>
      <c r="N39" s="315"/>
      <c r="O39" s="317"/>
      <c r="P39" s="315"/>
      <c r="Q39" s="315"/>
      <c r="R39" s="317"/>
      <c r="S39" s="315"/>
      <c r="T39" s="317"/>
      <c r="U39" s="267"/>
      <c r="V39" s="73"/>
      <c r="W39" s="133"/>
    </row>
    <row r="40" s="141" customFormat="true" ht="18" hidden="false" customHeight="true" outlineLevel="0" collapsed="false">
      <c r="A40" s="71"/>
      <c r="B40" s="71" t="s">
        <v>302</v>
      </c>
      <c r="C40" s="85" t="s">
        <v>303</v>
      </c>
      <c r="D40" s="337"/>
      <c r="E40" s="73"/>
      <c r="F40" s="81"/>
      <c r="G40" s="96"/>
      <c r="H40" s="98"/>
      <c r="I40" s="96"/>
      <c r="J40" s="98"/>
      <c r="K40" s="81"/>
      <c r="L40" s="81"/>
      <c r="M40" s="317"/>
      <c r="N40" s="315"/>
      <c r="O40" s="317"/>
      <c r="P40" s="315"/>
      <c r="Q40" s="315"/>
      <c r="R40" s="317"/>
      <c r="S40" s="315"/>
      <c r="T40" s="317"/>
      <c r="U40" s="267"/>
      <c r="V40" s="73"/>
      <c r="W40" s="133"/>
    </row>
    <row r="41" s="141" customFormat="true" ht="18" hidden="false" customHeight="true" outlineLevel="0" collapsed="false">
      <c r="A41" s="71"/>
      <c r="B41" s="71"/>
      <c r="C41" s="85" t="s">
        <v>304</v>
      </c>
      <c r="D41" s="337"/>
      <c r="E41" s="73"/>
      <c r="F41" s="81"/>
      <c r="G41" s="96"/>
      <c r="H41" s="98"/>
      <c r="I41" s="96"/>
      <c r="J41" s="98"/>
      <c r="K41" s="81"/>
      <c r="L41" s="81"/>
      <c r="M41" s="317"/>
      <c r="N41" s="315"/>
      <c r="O41" s="317"/>
      <c r="P41" s="315"/>
      <c r="Q41" s="315"/>
      <c r="R41" s="317"/>
      <c r="S41" s="315"/>
      <c r="T41" s="317"/>
      <c r="U41" s="267"/>
      <c r="V41" s="73"/>
      <c r="W41" s="133"/>
    </row>
    <row r="42" s="141" customFormat="true" ht="18" hidden="false" customHeight="true" outlineLevel="0" collapsed="false">
      <c r="A42" s="71"/>
      <c r="B42" s="71" t="s">
        <v>305</v>
      </c>
      <c r="C42" s="85" t="s">
        <v>306</v>
      </c>
      <c r="D42" s="337"/>
      <c r="E42" s="73"/>
      <c r="F42" s="81"/>
      <c r="G42" s="96"/>
      <c r="H42" s="98"/>
      <c r="I42" s="96"/>
      <c r="J42" s="98"/>
      <c r="K42" s="81"/>
      <c r="L42" s="81"/>
      <c r="M42" s="317"/>
      <c r="N42" s="315"/>
      <c r="O42" s="317"/>
      <c r="P42" s="315"/>
      <c r="Q42" s="315"/>
      <c r="R42" s="317"/>
      <c r="S42" s="315"/>
      <c r="T42" s="317"/>
      <c r="U42" s="267"/>
      <c r="V42" s="73"/>
      <c r="W42" s="133"/>
    </row>
    <row r="43" s="141" customFormat="true" ht="17.25" hidden="false" customHeight="true" outlineLevel="0" collapsed="false">
      <c r="A43" s="71"/>
      <c r="B43" s="71" t="s">
        <v>307</v>
      </c>
      <c r="C43" s="64" t="s">
        <v>62</v>
      </c>
      <c r="D43" s="73"/>
      <c r="E43" s="73"/>
      <c r="F43" s="81"/>
      <c r="G43" s="96"/>
      <c r="H43" s="98"/>
      <c r="I43" s="96"/>
      <c r="J43" s="98"/>
      <c r="K43" s="81"/>
      <c r="L43" s="81"/>
      <c r="M43" s="317"/>
      <c r="N43" s="315"/>
      <c r="O43" s="317"/>
      <c r="P43" s="315"/>
      <c r="Q43" s="315"/>
      <c r="R43" s="317"/>
      <c r="S43" s="315"/>
      <c r="T43" s="317"/>
      <c r="U43" s="267"/>
      <c r="V43" s="73"/>
      <c r="W43" s="133"/>
    </row>
    <row r="44" s="141" customFormat="true" ht="18" hidden="false" customHeight="true" outlineLevel="0" collapsed="false">
      <c r="A44" s="71"/>
      <c r="B44" s="71" t="s">
        <v>308</v>
      </c>
      <c r="C44" s="85" t="s">
        <v>309</v>
      </c>
      <c r="D44" s="337"/>
      <c r="E44" s="73"/>
      <c r="F44" s="81"/>
      <c r="G44" s="96"/>
      <c r="H44" s="98"/>
      <c r="I44" s="96"/>
      <c r="J44" s="98"/>
      <c r="K44" s="81"/>
      <c r="L44" s="81"/>
      <c r="M44" s="317"/>
      <c r="N44" s="315"/>
      <c r="O44" s="317"/>
      <c r="P44" s="315"/>
      <c r="Q44" s="315"/>
      <c r="R44" s="317"/>
      <c r="S44" s="315"/>
      <c r="T44" s="317"/>
      <c r="U44" s="267"/>
      <c r="V44" s="73"/>
      <c r="W44" s="133"/>
    </row>
    <row r="45" s="141" customFormat="true" ht="18" hidden="false" customHeight="true" outlineLevel="0" collapsed="false">
      <c r="A45" s="71"/>
      <c r="B45" s="85"/>
      <c r="C45" s="337"/>
      <c r="D45" s="73"/>
      <c r="E45" s="81"/>
      <c r="F45" s="81"/>
      <c r="G45" s="96"/>
      <c r="H45" s="98"/>
      <c r="I45" s="96"/>
      <c r="J45" s="98"/>
      <c r="K45" s="81"/>
      <c r="L45" s="81"/>
      <c r="M45" s="317"/>
      <c r="N45" s="315"/>
      <c r="O45" s="317"/>
      <c r="P45" s="315"/>
      <c r="Q45" s="315"/>
      <c r="R45" s="317"/>
      <c r="S45" s="315"/>
      <c r="T45" s="317"/>
      <c r="U45" s="267"/>
      <c r="V45" s="73"/>
      <c r="W45" s="133"/>
    </row>
    <row r="46" customFormat="false" ht="18" hidden="false" customHeight="true" outlineLevel="0" collapsed="false">
      <c r="A46" s="71"/>
      <c r="B46" s="85" t="s">
        <v>72</v>
      </c>
      <c r="C46" s="71"/>
      <c r="D46" s="71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1"/>
    </row>
    <row r="47" customFormat="false" ht="18" hidden="false" customHeight="tru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</row>
    <row r="48" customFormat="false" ht="18" hidden="false" customHeight="tru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</row>
    <row r="49" customFormat="false" ht="18" hidden="false" customHeight="tru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</row>
    <row r="50" customFormat="false" ht="19.3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</row>
    <row r="51" customFormat="false" ht="19.3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</row>
    <row r="52" customFormat="false" ht="19.35" hidden="false" customHeight="false" outlineLevel="0" collapsed="false"/>
    <row r="53" customFormat="false" ht="19.35" hidden="false" customHeight="false" outlineLevel="0" collapsed="false"/>
    <row r="54" customFormat="false" ht="19.35" hidden="false" customHeight="false" outlineLevel="0" collapsed="false"/>
    <row r="55" customFormat="false" ht="19.35" hidden="false" customHeight="false" outlineLevel="0" collapsed="false"/>
    <row r="56" customFormat="false" ht="19.35" hidden="false" customHeight="false" outlineLevel="0" collapsed="false"/>
    <row r="57" customFormat="false" ht="19.35" hidden="false" customHeight="false" outlineLevel="0" collapsed="false"/>
    <row r="58" customFormat="false" ht="19.35" hidden="false" customHeight="false" outlineLevel="0" collapsed="false"/>
    <row r="59" customFormat="false" ht="19.35" hidden="false" customHeight="false" outlineLevel="0" collapsed="false"/>
    <row r="60" customFormat="false" ht="19.35" hidden="false" customHeight="false" outlineLevel="0" collapsed="false"/>
    <row r="61" customFormat="false" ht="19.35" hidden="false" customHeight="false" outlineLevel="0" collapsed="false"/>
    <row r="62" customFormat="false" ht="19.35" hidden="false" customHeight="false" outlineLevel="0" collapsed="false"/>
    <row r="63" customFormat="false" ht="19.35" hidden="false" customHeight="false" outlineLevel="0" collapsed="false"/>
    <row r="64" customFormat="false" ht="19.35" hidden="false" customHeight="false" outlineLevel="0" collapsed="false"/>
    <row r="65" customFormat="false" ht="19.35" hidden="false" customHeight="false" outlineLevel="0" collapsed="false"/>
    <row r="66" customFormat="false" ht="19.35" hidden="false" customHeight="false" outlineLevel="0" collapsed="false"/>
    <row r="67" customFormat="false" ht="19.35" hidden="false" customHeight="false" outlineLevel="0" collapsed="false"/>
    <row r="68" customFormat="false" ht="19.35" hidden="false" customHeight="false" outlineLevel="0" collapsed="false"/>
    <row r="69" customFormat="false" ht="19.35" hidden="false" customHeight="false" outlineLevel="0" collapsed="false"/>
    <row r="70" customFormat="false" ht="19.35" hidden="false" customHeight="false" outlineLevel="0" collapsed="false"/>
    <row r="71" customFormat="false" ht="19.35" hidden="false" customHeight="false" outlineLevel="0" collapsed="false"/>
    <row r="72" customFormat="false" ht="19.35" hidden="false" customHeight="false" outlineLevel="0" collapsed="false"/>
    <row r="73" customFormat="false" ht="19.35" hidden="false" customHeight="false" outlineLevel="0" collapsed="false"/>
    <row r="74" customFormat="false" ht="19.35" hidden="false" customHeight="false" outlineLevel="0" collapsed="false"/>
    <row r="75" customFormat="false" ht="19.35" hidden="false" customHeight="false" outlineLevel="0" collapsed="false"/>
    <row r="76" customFormat="false" ht="19.35" hidden="false" customHeight="false" outlineLevel="0" collapsed="false"/>
    <row r="77" customFormat="false" ht="19.35" hidden="false" customHeight="false" outlineLevel="0" collapsed="false"/>
    <row r="78" customFormat="false" ht="19.35" hidden="false" customHeight="false" outlineLevel="0" collapsed="false"/>
    <row r="79" customFormat="false" ht="19.35" hidden="false" customHeight="false" outlineLevel="0" collapsed="false"/>
  </sheetData>
  <mergeCells count="3">
    <mergeCell ref="G5:I5"/>
    <mergeCell ref="M5:O5"/>
    <mergeCell ref="R5:U5"/>
  </mergeCells>
  <printOptions headings="false" gridLines="false" gridLinesSet="true" horizontalCentered="false" verticalCentered="false"/>
  <pageMargins left="0" right="0" top="0.0597222222222222" bottom="0.0597222222222222" header="0.511811023622047" footer="0"/>
  <pageSetup paperSize="1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&amp;R&amp;"Times New Roman,Bold"&amp;18Page 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