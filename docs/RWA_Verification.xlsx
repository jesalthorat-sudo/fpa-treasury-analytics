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WA Verification" sheetId="1" state="visible" r:id="rId3"/>
    <sheet name="Find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<sst xmlns="http://schemas.openxmlformats.org/spreadsheetml/2006/main" count="62" uniqueCount="54">
  <si>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 xml:space="preserve">Verification of risk-weighted assets and capital adequacy ratios - Operating Units A to D</t>
  </si>
  <si>
    <t xml:space="preserve">$'m unless stated. Blue = inputs from the operating-unit submission / FRB methodology; black = formulas.</t>
  </si>
  <si>
    <t xml:space="preserve">Minimum capital adequacy ratio (CET1 / RWA)</t>
  </si>
  <si>
    <t xml:space="preserve">Source: Basel III methodology note (8% total capital + 2.5% conservation buffer); applied to CET1 per task brief.</t>
  </si>
  <si>
    <t xml:space="preserve">Risk weights</t>
  </si>
  <si>
    <t xml:space="preserve">FRB standardized</t>
  </si>
  <si>
    <t xml:space="preserve">Used by units</t>
  </si>
  <si>
    <t xml:space="preserve">Loans for Cards</t>
  </si>
  <si>
    <t xml:space="preserve">Units' workbook shows 25% for cards; FRB requires 100%</t>
  </si>
  <si>
    <t xml:space="preserve">Consumer Mortgages</t>
  </si>
  <si>
    <t xml:space="preserve">Retail Banking</t>
  </si>
  <si>
    <t xml:space="preserve">Unsecured Retail Lending</t>
  </si>
  <si>
    <t xml:space="preserve">Submitted data ($'m)</t>
  </si>
  <si>
    <t xml:space="preserve">A</t>
  </si>
  <si>
    <t xml:space="preserve">B</t>
  </si>
  <si>
    <t xml:space="preserve">C</t>
  </si>
  <si>
    <t xml:space="preserve">D</t>
  </si>
  <si>
    <t xml:space="preserve">Source: RWA_Info_from_Operating_Units.xlsx</t>
  </si>
  <si>
    <t xml:space="preserve">Common Equity Tier 1 capital (CET1)</t>
  </si>
  <si>
    <t xml:space="preserve">Reported RWA (hard-coded by units)</t>
  </si>
  <si>
    <t xml:space="preserve">Reported capital adequacy ratio</t>
  </si>
  <si>
    <t xml:space="preserve">Independent recalculation</t>
  </si>
  <si>
    <t xml:space="preserve">Recalculated RWA (FRB risk weights)</t>
  </si>
  <si>
    <t xml:space="preserve">RWA using units' own risk weights</t>
  </si>
  <si>
    <t xml:space="preserve">Unexplained difference: reported vs units' own weights</t>
  </si>
  <si>
    <t xml:space="preserve">RWA understatement: recalculated less reported</t>
  </si>
  <si>
    <t xml:space="preserve">Recalculated capital adequacy ratio</t>
  </si>
  <si>
    <t xml:space="preserve">Ratio difference: recalculated less reported</t>
  </si>
  <si>
    <t xml:space="preserve">Reported ratio vs minimum</t>
  </si>
  <si>
    <t xml:space="preserve">Recalculated ratio vs minimum</t>
  </si>
  <si>
    <t xml:space="preserve">CET1 required at minimum ratio</t>
  </si>
  <si>
    <t xml:space="preserve">CET1 shortfall</t>
  </si>
  <si>
    <t xml:space="preserve">Findings and discrepancies</t>
  </si>
  <si>
    <t xml:space="preserve">#</t>
  </si>
  <si>
    <t xml:space="preserve">Issue</t>
  </si>
  <si>
    <t xml:space="preserve">Detail</t>
  </si>
  <si>
    <t xml:space="preserve">1</t>
  </si>
  <si>
    <t xml:space="preserve">Wrong card risk weight (all units)</t>
  </si>
  <si>
    <t xml:space="preserve">Units' workbook applies 25% to Loans for Cards; FRB standardized weight is 100%. Units A, B and C RWA reconcile exactly on the 25% basis, so RWA is understated and ratios overstated.</t>
  </si>
  <si>
    <t xml:space="preserve">2</t>
  </si>
  <si>
    <t xml:space="preserve">Unit D RWA cannot be reconciled</t>
  </si>
  <si>
    <t xml:space="preserve">Reported RWA of 200.23 is below any weighting of its own assets (447.50 even at 25% card weight; Retail Banking alone gives 315.00). Corrected RWA 462.50 gives a 4.32% ratio vs 9.99% reported. Ask Unit D how 200.23 was derived.</t>
  </si>
  <si>
    <t xml:space="preserve">3</t>
  </si>
  <si>
    <t xml:space="preserve">Units C and D below minimum</t>
  </si>
  <si>
    <t xml:space="preserve">Both were below 10.5% as reported; corrected shortfalls are larger. See 'CET1 shortfall' row on the verification sheet.</t>
  </si>
  <si>
    <t xml:space="preserve">4</t>
  </si>
  <si>
    <t xml:space="preserve">Hard-coded submission</t>
  </si>
  <si>
    <t xml:space="preserve">RWA and ratios were pasted as values with no formulas, and the 'Below Minimum Capital Adequacy Ratio?' row was left blank.</t>
  </si>
  <si>
    <t xml:space="preserve">5</t>
  </si>
  <si>
    <t xml:space="preserve">Definition of the minimum</t>
  </si>
  <si>
    <t xml:space="preserve">Methodology note defines 10.5% as Tier 1 + Tier 2 total capital incl. conservation buffer; the task tests CET1 / RWA against it, which is stricter. Confirm which measure applies.</t>
  </si>
  <si>
    <t xml:space="preserve">Next</t>
  </si>
  <si>
    <t xml:space="preserve">Suggested actions</t>
  </si>
  <si>
    <t xml:space="preserve">Return corrected card weight to all units; ask Unit D to explain its RWA; request capital plans from Units C and 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</si>
</sst>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%"/>
    <numFmt numFmtId="167" formatCode="#,##0.00"/>
    <numFmt numFmtId="168" formatCode="0.00%"/>
    <numFmt numFmtId="169" formatCode="#,##0.00;\(#,##0.00\);\-"/>
    <numFmt numFmtId="170" formatCode="0.00%;\(0.0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810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D72"/>
        <bgColor rgb="FF333399"/>
      </patternFill>
    </fill>
    <fill>
      <patternFill patternType="solid">
        <fgColor rgb="FFEEF2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8102E"/>
        <sz val="10"/>
      </font>
    </dxf>
    <dxf>
      <font>
        <name val="Arial"/>
        <charset val="1"/>
        <family val="0"/>
        <b val="1"/>
        <color rgb="FF2E7D32"/>
        <sz val="10"/>
      </font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D72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0.105</v>
      </c>
      <c r="C4" s="2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  <c r="C6" s="6" t="s">
        <v>6</v>
      </c>
      <c r="D6" s="7"/>
      <c r="E6" s="7"/>
    </row>
    <row r="7" customFormat="false" ht="15" hidden="false" customHeight="false" outlineLevel="0" collapsed="false">
      <c r="A7" s="8" t="s">
        <v>7</v>
      </c>
      <c r="B7" s="9" t="n">
        <v>1</v>
      </c>
      <c r="C7" s="10" t="n">
        <v>0.25</v>
      </c>
      <c r="D7" s="11" t="s">
        <v>8</v>
      </c>
    </row>
    <row r="8" customFormat="false" ht="15" hidden="false" customHeight="false" outlineLevel="0" collapsed="false">
      <c r="A8" s="8" t="s">
        <v>9</v>
      </c>
      <c r="B8" s="9" t="n">
        <v>0.55</v>
      </c>
      <c r="C8" s="9" t="n">
        <v>0.55</v>
      </c>
    </row>
    <row r="9" customFormat="false" ht="15" hidden="false" customHeight="false" outlineLevel="0" collapsed="false">
      <c r="A9" s="8" t="s">
        <v>10</v>
      </c>
      <c r="B9" s="9" t="n">
        <v>0.9</v>
      </c>
      <c r="C9" s="9" t="n">
        <v>0.9</v>
      </c>
    </row>
    <row r="10" customFormat="false" ht="15" hidden="false" customHeight="false" outlineLevel="0" collapsed="false">
      <c r="A10" s="8" t="s">
        <v>11</v>
      </c>
      <c r="B10" s="9" t="n">
        <v>1</v>
      </c>
      <c r="C10" s="9" t="n">
        <v>1</v>
      </c>
    </row>
    <row r="12" customFormat="false" ht="15" hidden="false" customHeight="false" outlineLevel="0" collapsed="false">
      <c r="A12" s="5" t="s">
        <v>12</v>
      </c>
      <c r="B12" s="12" t="s">
        <v>13</v>
      </c>
      <c r="C12" s="12" t="s">
        <v>14</v>
      </c>
      <c r="D12" s="12" t="s">
        <v>15</v>
      </c>
      <c r="E12" s="12" t="s">
        <v>16</v>
      </c>
    </row>
    <row r="13" customFormat="false" ht="15" hidden="false" customHeight="false" outlineLevel="0" collapsed="false">
      <c r="A13" s="8" t="s">
        <v>7</v>
      </c>
      <c r="B13" s="13" t="n">
        <v>5</v>
      </c>
      <c r="C13" s="13" t="n">
        <v>10</v>
      </c>
      <c r="D13" s="13" t="n">
        <v>17</v>
      </c>
      <c r="E13" s="13" t="n">
        <v>20</v>
      </c>
      <c r="F13" s="2" t="s">
        <v>17</v>
      </c>
    </row>
    <row r="14" customFormat="false" ht="15" hidden="false" customHeight="false" outlineLevel="0" collapsed="false">
      <c r="A14" s="8" t="s">
        <v>9</v>
      </c>
      <c r="B14" s="13" t="n">
        <v>50</v>
      </c>
      <c r="C14" s="13" t="n">
        <v>10</v>
      </c>
      <c r="D14" s="13" t="n">
        <v>15</v>
      </c>
      <c r="E14" s="13" t="n">
        <v>50</v>
      </c>
    </row>
    <row r="15" customFormat="false" ht="15" hidden="false" customHeight="false" outlineLevel="0" collapsed="false">
      <c r="A15" s="8" t="s">
        <v>10</v>
      </c>
      <c r="B15" s="13" t="n">
        <v>35</v>
      </c>
      <c r="C15" s="13" t="n">
        <v>35</v>
      </c>
      <c r="D15" s="13" t="n">
        <v>35</v>
      </c>
      <c r="E15" s="13" t="n">
        <v>350</v>
      </c>
    </row>
    <row r="16" customFormat="false" ht="15" hidden="false" customHeight="false" outlineLevel="0" collapsed="false">
      <c r="A16" s="8" t="s">
        <v>11</v>
      </c>
      <c r="B16" s="13" t="n">
        <v>10</v>
      </c>
      <c r="C16" s="13" t="n">
        <v>20</v>
      </c>
      <c r="D16" s="13" t="n">
        <v>200</v>
      </c>
      <c r="E16" s="13" t="n">
        <v>100</v>
      </c>
    </row>
    <row r="17" customFormat="false" ht="15" hidden="false" customHeight="false" outlineLevel="0" collapsed="false">
      <c r="A17" s="8" t="s">
        <v>18</v>
      </c>
      <c r="B17" s="13" t="n">
        <v>10</v>
      </c>
      <c r="C17" s="13" t="n">
        <v>15</v>
      </c>
      <c r="D17" s="13" t="n">
        <v>20</v>
      </c>
      <c r="E17" s="13" t="n">
        <v>20</v>
      </c>
    </row>
    <row r="18" customFormat="false" ht="15" hidden="false" customHeight="false" outlineLevel="0" collapsed="false">
      <c r="A18" s="8" t="s">
        <v>19</v>
      </c>
      <c r="B18" s="13" t="n">
        <v>70.25</v>
      </c>
      <c r="C18" s="13" t="n">
        <v>59.5</v>
      </c>
      <c r="D18" s="13" t="n">
        <v>244</v>
      </c>
      <c r="E18" s="13" t="n">
        <v>200.23</v>
      </c>
    </row>
    <row r="19" customFormat="false" ht="15" hidden="false" customHeight="false" outlineLevel="0" collapsed="false">
      <c r="A19" s="8" t="s">
        <v>20</v>
      </c>
      <c r="B19" s="14" t="n">
        <v>0.142348754448399</v>
      </c>
      <c r="C19" s="14" t="n">
        <v>0.252100840336134</v>
      </c>
      <c r="D19" s="14" t="n">
        <v>0.0819672131147541</v>
      </c>
      <c r="E19" s="14" t="n">
        <v>0.0998851320980872</v>
      </c>
    </row>
    <row r="21" customFormat="false" ht="15" hidden="false" customHeight="false" outlineLevel="0" collapsed="false">
      <c r="A21" s="5" t="s">
        <v>21</v>
      </c>
      <c r="B21" s="12" t="s">
        <v>13</v>
      </c>
      <c r="C21" s="12" t="s">
        <v>14</v>
      </c>
      <c r="D21" s="12" t="s">
        <v>15</v>
      </c>
      <c r="E21" s="12" t="s">
        <v>16</v>
      </c>
    </row>
    <row r="22" customFormat="false" ht="15" hidden="false" customHeight="false" outlineLevel="0" collapsed="false">
      <c r="A22" s="15" t="s">
        <v>22</v>
      </c>
      <c r="B22" s="16" t="n">
        <f aca="false">SUMPRODUCT(B13:B16,$B$7:$B$10)</f>
        <v>74</v>
      </c>
      <c r="C22" s="16" t="n">
        <f aca="false">SUMPRODUCT(C13:C16,$B$7:$B$10)</f>
        <v>67</v>
      </c>
      <c r="D22" s="16" t="n">
        <f aca="false">SUMPRODUCT(D13:D16,$B$7:$B$10)</f>
        <v>256.75</v>
      </c>
      <c r="E22" s="16" t="n">
        <f aca="false">SUMPRODUCT(E13:E16,$B$7:$B$10)</f>
        <v>462.5</v>
      </c>
    </row>
    <row r="23" customFormat="false" ht="15" hidden="false" customHeight="false" outlineLevel="0" collapsed="false">
      <c r="A23" s="8" t="s">
        <v>23</v>
      </c>
      <c r="B23" s="17" t="n">
        <f aca="false">SUMPRODUCT(B13:B16,$C$7:$C$10)</f>
        <v>70.25</v>
      </c>
      <c r="C23" s="17" t="n">
        <f aca="false">SUMPRODUCT(C13:C16,$C$7:$C$10)</f>
        <v>59.5</v>
      </c>
      <c r="D23" s="17" t="n">
        <f aca="false">SUMPRODUCT(D13:D16,$C$7:$C$10)</f>
        <v>244</v>
      </c>
      <c r="E23" s="17" t="n">
        <f aca="false">SUMPRODUCT(E13:E16,$C$7:$C$10)</f>
        <v>447.5</v>
      </c>
    </row>
    <row r="24" customFormat="false" ht="15" hidden="false" customHeight="false" outlineLevel="0" collapsed="false">
      <c r="A24" s="8" t="s">
        <v>24</v>
      </c>
      <c r="B24" s="18" t="n">
        <f aca="false">B18-B23</f>
        <v>0</v>
      </c>
      <c r="C24" s="18" t="n">
        <f aca="false">C18-C23</f>
        <v>0</v>
      </c>
      <c r="D24" s="18" t="n">
        <f aca="false">D18-D23</f>
        <v>0</v>
      </c>
      <c r="E24" s="18" t="n">
        <f aca="false">E18-E23</f>
        <v>-247.27</v>
      </c>
    </row>
    <row r="25" customFormat="false" ht="15" hidden="false" customHeight="false" outlineLevel="0" collapsed="false">
      <c r="A25" s="8" t="s">
        <v>25</v>
      </c>
      <c r="B25" s="18" t="n">
        <f aca="false">B22-B18</f>
        <v>3.75</v>
      </c>
      <c r="C25" s="18" t="n">
        <f aca="false">C22-C18</f>
        <v>7.5</v>
      </c>
      <c r="D25" s="18" t="n">
        <f aca="false">D22-D18</f>
        <v>12.75</v>
      </c>
      <c r="E25" s="18" t="n">
        <f aca="false">E22-E18</f>
        <v>262.27</v>
      </c>
    </row>
    <row r="26" customFormat="false" ht="15" hidden="false" customHeight="false" outlineLevel="0" collapsed="false">
      <c r="A26" s="15" t="s">
        <v>26</v>
      </c>
      <c r="B26" s="19" t="n">
        <f aca="false">IF(B22=0,0,B17/B22)</f>
        <v>0.135135135135135</v>
      </c>
      <c r="C26" s="19" t="n">
        <f aca="false">IF(C22=0,0,C17/C22)</f>
        <v>0.223880597014925</v>
      </c>
      <c r="D26" s="19" t="n">
        <f aca="false">IF(D22=0,0,D17/D22)</f>
        <v>0.0778967867575463</v>
      </c>
      <c r="E26" s="19" t="n">
        <f aca="false">IF(E22=0,0,E17/E22)</f>
        <v>0.0432432432432432</v>
      </c>
    </row>
    <row r="27" customFormat="false" ht="15" hidden="false" customHeight="false" outlineLevel="0" collapsed="false">
      <c r="A27" s="8" t="s">
        <v>27</v>
      </c>
      <c r="B27" s="20" t="n">
        <f aca="false">B26-B19</f>
        <v>-0.00721361931326345</v>
      </c>
      <c r="C27" s="20" t="n">
        <f aca="false">C26-C19</f>
        <v>-0.028220243321209</v>
      </c>
      <c r="D27" s="20" t="n">
        <f aca="false">D26-D19</f>
        <v>-0.00407042635720784</v>
      </c>
      <c r="E27" s="20" t="n">
        <f aca="false">E26-E19</f>
        <v>-0.056641888854844</v>
      </c>
    </row>
    <row r="28" customFormat="false" ht="15" hidden="false" customHeight="false" outlineLevel="0" collapsed="false">
      <c r="A28" s="8" t="s">
        <v>28</v>
      </c>
      <c r="B28" s="21" t="str">
        <f aca="false">IF(B19&gt;=$B$4,"Meets","Below")</f>
        <v>Meets</v>
      </c>
      <c r="C28" s="21" t="str">
        <f aca="false">IF(C19&gt;=$B$4,"Meets","Below")</f>
        <v>Meets</v>
      </c>
      <c r="D28" s="21" t="str">
        <f aca="false">IF(D19&gt;=$B$4,"Meets","Below")</f>
        <v>Below</v>
      </c>
      <c r="E28" s="21" t="str">
        <f aca="false">IF(E19&gt;=$B$4,"Meets","Below")</f>
        <v>Below</v>
      </c>
    </row>
    <row r="29" customFormat="false" ht="15" hidden="false" customHeight="false" outlineLevel="0" collapsed="false">
      <c r="A29" s="15" t="s">
        <v>29</v>
      </c>
      <c r="B29" s="22" t="str">
        <f aca="false">IF(B26&gt;=$B$4,"Meets","Below")</f>
        <v>Meets</v>
      </c>
      <c r="C29" s="22" t="str">
        <f aca="false">IF(C26&gt;=$B$4,"Meets","Below")</f>
        <v>Meets</v>
      </c>
      <c r="D29" s="22" t="str">
        <f aca="false">IF(D26&gt;=$B$4,"Meets","Below")</f>
        <v>Below</v>
      </c>
      <c r="E29" s="22" t="str">
        <f aca="false">IF(E26&gt;=$B$4,"Meets","Below")</f>
        <v>Below</v>
      </c>
    </row>
    <row r="30" customFormat="false" ht="15" hidden="false" customHeight="false" outlineLevel="0" collapsed="false">
      <c r="A30" s="8" t="s">
        <v>30</v>
      </c>
      <c r="B30" s="17" t="n">
        <f aca="false">$B$4*B22</f>
        <v>7.77</v>
      </c>
      <c r="C30" s="17" t="n">
        <f aca="false">$B$4*C22</f>
        <v>7.035</v>
      </c>
      <c r="D30" s="17" t="n">
        <f aca="false">$B$4*D22</f>
        <v>26.95875</v>
      </c>
      <c r="E30" s="17" t="n">
        <f aca="false">$B$4*E22</f>
        <v>48.5625</v>
      </c>
    </row>
    <row r="31" customFormat="false" ht="15" hidden="false" customHeight="false" outlineLevel="0" collapsed="false">
      <c r="A31" s="15" t="s">
        <v>31</v>
      </c>
      <c r="B31" s="23" t="n">
        <f aca="false">MAX(0,B30-B17)</f>
        <v>0</v>
      </c>
      <c r="C31" s="23" t="n">
        <f aca="false">MAX(0,C30-C17)</f>
        <v>0</v>
      </c>
      <c r="D31" s="23" t="n">
        <f aca="false">MAX(0,D30-D17)</f>
        <v>6.95875</v>
      </c>
      <c r="E31" s="23" t="n">
        <f aca="false">MAX(0,E30-E17)</f>
        <v>28.5625</v>
      </c>
    </row>
  </sheetData>
  <conditionalFormatting sqref="B28:E29">
    <cfRule type="cellIs" priority="2" operator="equal" aboveAverage="0" equalAverage="0" bottom="0" percent="0" rank="0" text="" dxfId="0">
      <formula>"Below"</formula>
    </cfRule>
    <cfRule type="cellIs" priority="3" operator="equal" aboveAverage="0" equalAverage="0" bottom="0" percent="0" rank="0" text="" dxfId="1">
      <formula>"Meets"</formula>
    </cfRule>
  </conditionalFormatting>
  <conditionalFormatting sqref="B24:E24">
    <cfRule type="expression" priority="4" aboveAverage="0" equalAverage="0" bottom="0" percent="0" rank="0" text="" dxfId="0">
      <formula>ABS(B24)&gt;0.005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</row>
    <row r="4" customFormat="false" ht="23.85" hidden="false" customHeight="false" outlineLevel="0" collapsed="false">
      <c r="A4" s="24" t="s">
        <v>36</v>
      </c>
      <c r="B4" s="25" t="s">
        <v>37</v>
      </c>
      <c r="C4" s="24" t="s">
        <v>38</v>
      </c>
    </row>
    <row r="5" customFormat="false" ht="23.85" hidden="false" customHeight="false" outlineLevel="0" collapsed="false">
      <c r="A5" s="24" t="s">
        <v>39</v>
      </c>
      <c r="B5" s="25" t="s">
        <v>40</v>
      </c>
      <c r="C5" s="24" t="s">
        <v>41</v>
      </c>
    </row>
    <row r="6" customFormat="false" ht="15" hidden="false" customHeight="false" outlineLevel="0" collapsed="false">
      <c r="A6" s="24" t="s">
        <v>42</v>
      </c>
      <c r="B6" s="25" t="s">
        <v>43</v>
      </c>
      <c r="C6" s="24" t="s">
        <v>44</v>
      </c>
    </row>
    <row r="7" customFormat="false" ht="23.85" hidden="false" customHeight="false" outlineLevel="0" collapsed="false">
      <c r="A7" s="24" t="s">
        <v>45</v>
      </c>
      <c r="B7" s="25" t="s">
        <v>46</v>
      </c>
      <c r="C7" s="24" t="s">
        <v>47</v>
      </c>
    </row>
    <row r="8" customFormat="false" ht="23.85" hidden="false" customHeight="false" outlineLevel="0" collapsed="false">
      <c r="A8" s="24" t="s">
        <v>48</v>
      </c>
      <c r="B8" s="25" t="s">
        <v>49</v>
      </c>
      <c r="C8" s="24" t="s">
        <v>50</v>
      </c>
    </row>
    <row r="9" customFormat="false" ht="15" hidden="false" customHeight="false" outlineLevel="0" collapsed="false">
      <c r="A9" s="24" t="s">
        <v>51</v>
      </c>
      <c r="B9" s="25" t="s">
        <v>52</v>
      </c>
      <c r="C9" s="2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2026-10-06T21:00:03Z</dcterms:created>
  <dc:creator>openpyxl</dc:creator>
  <dc:description/>
  <dc:language>en-US</dc:language>
  <cp:lastModifiedBy/>
  <dcterms:modified xsi:type="dcterms:W3CDTF">2026-10-06T21:00:03Z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